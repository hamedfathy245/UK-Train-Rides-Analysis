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mmary" sheetId="1" state="visible" r:id="rId3"/>
    <sheet name="Questions" sheetId="2" state="visible" r:id="rId4"/>
  </sheets>
  <definedNames>
    <definedName function="false" hidden="true" localSheetId="1" name="_xlnm._FilterDatabase" vbProcedure="false">Questions!$A$1:$M$68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<sst xmlns="http://schemas.openxmlformats.org/spreadsheetml/2006/main" count="906" uniqueCount="518">
  <si>
    <t xml:space="preserve">UK Train Rides – Week 2 Final Question List | الشكل النهائي للأسبوع 2</t>
  </si>
  <si>
    <t xml:space="preserve">Tier</t>
  </si>
  <si>
    <t xml:space="preserve">Questions</t>
  </si>
  <si>
    <t xml:space="preserve">Done</t>
  </si>
  <si>
    <t xml:space="preserve">% Done</t>
  </si>
  <si>
    <t xml:space="preserve">Tier 1</t>
  </si>
  <si>
    <t xml:space="preserve">Tier 2</t>
  </si>
  <si>
    <t xml:space="preserve">Tier 3</t>
  </si>
  <si>
    <t xml:space="preserve">KPI</t>
  </si>
  <si>
    <t xml:space="preserve">Total</t>
  </si>
  <si>
    <t xml:space="preserve">Axis</t>
  </si>
  <si>
    <t xml:space="preserve">Revenue</t>
  </si>
  <si>
    <t xml:space="preserve">Tickets</t>
  </si>
  <si>
    <t xml:space="preserve">Routes</t>
  </si>
  <si>
    <t xml:space="preserve">Performance</t>
  </si>
  <si>
    <t xml:space="preserve">Refunds</t>
  </si>
  <si>
    <t xml:space="preserve">Customers</t>
  </si>
  <si>
    <t xml:space="preserve">Cross-axis</t>
  </si>
  <si>
    <t xml:space="preserve">Forecast</t>
  </si>
  <si>
    <t xml:space="preserve">Notes: only questions answered in Final_Project.ipynb are listed. Cell numbers (#) refer to 0-based code cell index in the notebook. Counts update automatically.</t>
  </si>
  <si>
    <t xml:space="preserve">ID</t>
  </si>
  <si>
    <t xml:space="preserve">المحور</t>
  </si>
  <si>
    <t xml:space="preserve">السؤال</t>
  </si>
  <si>
    <t xml:space="preserve">Question</t>
  </si>
  <si>
    <t xml:space="preserve">Columns used</t>
  </si>
  <si>
    <t xml:space="preserve">Tool</t>
  </si>
  <si>
    <t xml:space="preserve">Note</t>
  </si>
  <si>
    <t xml:space="preserve">Status</t>
  </si>
  <si>
    <t xml:space="preserve">Notebook cell(s)</t>
  </si>
  <si>
    <t xml:space="preserve">Python code (from Final_Project.ipynb)</t>
  </si>
  <si>
    <t xml:space="preserve">Result (notebook output)</t>
  </si>
  <si>
    <t xml:space="preserve">D21</t>
  </si>
  <si>
    <t xml:space="preserve">الاسترداد</t>
  </si>
  <si>
    <t xml:space="preserve">إيه التكلفة الإجمالية للتأخيرات والإلغاءات (الإيراد المعرّض للخسارة) كنسبة من الإيراد، وأنهي سبب بيكلّفنا أكتر؟</t>
  </si>
  <si>
    <t xml:space="preserve">What is the total cost of delays and cancellations (revenue at risk) as a share of revenue, and which cause costs the most?</t>
  </si>
  <si>
    <t xml:space="preserve">Price, Journey Status, Refund Request, Reason for Delay</t>
  </si>
  <si>
    <t xml:space="preserve">SQL</t>
  </si>
  <si>
    <t xml:space="preserve">Original</t>
  </si>
  <si>
    <t xml:space="preserve">#58</t>
  </si>
  <si>
    <t xml:space="preserve">loss = df[df.cancelled | df.refund]
print("Revenue at risk:", loss.Price.sum(), f"= {loss.Price.sum() / df.Price.sum():.1%} of revenue")
print("\nBy cause:\n", loss.groupby("Reason for Delay").Price.agg(tickets="size", revenue_at_risk="sum").sort_values("revenue_at_risk", ascending=False))
print("\nBy status:\n", loss.groupby("Journey Status").Price.sum())</t>
  </si>
  <si>
    <t xml:space="preserve">Revenue at risk: 71621 = 9.7% of revenue
By cause:
                     tickets  revenue_at_risk
Reason for Delay                            
Technical Issue         551            18185
Staffing                348            13881
Signal Failure          579            13787
Traffic                 274             8420
Weather                 237             7168
Staff Shortage          229             6092
Weather Conditions      208             4088
By status:
 Journey Status
Cancelled    45456
Delayed      26165
Name: Price, dtype: int64</t>
  </si>
  <si>
    <t xml:space="preserve">D18</t>
  </si>
  <si>
    <t xml:space="preserve">هل كل رحلة ملغية عليها طلب استرداد؟ وإيه نسبة الملغية اللي مفيش عليها طلب؟</t>
  </si>
  <si>
    <t xml:space="preserve">Does every cancelled journey have a refund request? What share of cancellations have none?</t>
  </si>
  <si>
    <t xml:space="preserve">Journey Status, Refund Request</t>
  </si>
  <si>
    <t xml:space="preserve">#39</t>
  </si>
  <si>
    <t xml:space="preserve">c = df[df["cancelled"]]
print(f"Cancelled: {len(c)} | with refund request: {c['refund'].sum()} ({c['refund'].mean():.1%}) | without: {(~c['refund']).sum()} ({(~c['refund']).mean():.1%})")
print("Revenue of cancelled journeys with no refund request:", c[~c["refund"]]["Price"].sum())</t>
  </si>
  <si>
    <t xml:space="preserve">Cancelled: 1880 | with refund request: 572 (30.4%) | without: 1308 (69.6%)
Revenue of cancelled journeys with no refund request: 32919</t>
  </si>
  <si>
    <t xml:space="preserve">X3</t>
  </si>
  <si>
    <t xml:space="preserve">متقاطع</t>
  </si>
  <si>
    <t xml:space="preserve">أنهي خطوط عالية الإيراد لكن أداؤها ضعيف (تأخير أو إلغاء عالي)؟</t>
  </si>
  <si>
    <t xml:space="preserve">Which routes have high revenue but poor punctuality (high delay or cancellation rate)?</t>
  </si>
  <si>
    <t xml:space="preserve">Departure Station, Arrival Destination, Price, Journey Status</t>
  </si>
  <si>
    <t xml:space="preserve">SQL + Python</t>
  </si>
  <si>
    <t xml:space="preserve">#40, #86</t>
  </si>
  <si>
    <t xml:space="preserve">r = df.groupby("route").agg(tickets=("Price", "size"), revenue=("Price", "sum"), disruption_rate=("disrupted", "mean"))
top = r.sort_values("revenue", ascending=False).head(15).copy()
top["disruption_rate"] = (top.disruption_rate * 100).round(1)
avg = df.disrupted.mean() * 100
top["above_network_avg"] = top.disruption_rate &gt; avg
print(f"Network disruption rate: {avg:.1f}%")
print(top)</t>
  </si>
  <si>
    <t xml:space="preserve">Network disruption rate: 13.2%
                                                tickets  revenue  \
route                                                              
London Kings Cross -&gt; York                         3922   183193   
Liverpool Lime Street -&gt; London Euston             1097   113299   
London Paddington -&gt; Reading                       3873    65368   
London Euston -&gt; Manchester Piccadilly              712    61004   
London St Pancras -&gt; Birmingham New Street         3471    52869   
London Euston -&gt; Birmingham New Street             4209    50349   
Manchester Piccadilly -&gt; London Euston              345    33860   
Birmingham New Street -&gt; London St Pancras          702    19011   
Manchester Piccadilly -&gt; Liverpool Lime Street     4628    17310   
Manchester Piccadilly -&gt; London Paddington          144    16432   
London Paddington -&gt; Oxford                         485    12859   
Liverpool Lime Street -&gt; Manchester Piccadilly     3002    11950   
York -&gt; Peterborough                                242    10764   
London Kings Cross -&gt; Liverpool Lime Street         144    10373   
London St Pancras -&gt; Leicester                      337     7354   
                                                disruption_rate  \
route                                                             
London Kings Cross -&gt; York                                  8.4   
Liverpool Lime Street -&gt; London Euston                     80.1   
London Paddington -&gt; Reading                                9.1   
London Euston -&gt; Manchester Piccadilly                      6.3   
London St Pancras -&gt; Birmingham New Street                  7.9   
London Euston -&gt; Birmingham New Street                     10.8   
Manchester Piccadilly -&gt; London Euston                     70.4   
Birmingham New Street -&gt; London St Pancras                  7.3   
Manchester Piccadilly -&gt; Liverpool Lime Street             13.9   
Manchester Piccadilly -&gt; London Paddington                  5.6   
London Paddington -&gt; Oxford                                13.0   
Liverpool Lime Street -&gt; Manchester Piccadilly              7.7   
York -&gt; Peterborough                                        9.1   
London Kings Cross -&gt; Liverpool Lime Street                 0.7   
London St Pancras -&gt; Leicester                              4.7   
                                                above_network_avg  
route                                                              
London Kings Cross -&gt; York                                  False  
Liverpool Lime Street -&gt; London Euston                       True  
London Paddington -&gt; Reading                                False  
London Euston -&gt; Manchester Piccadilly                      False  
London St Pancras -&gt; Birmingham New Street                  False  
London Euston -&gt; Birmingham New Street                      False  
Manchester Piccadilly -&gt; London Euston                       True  
Birmingham New Street -&gt; London St Pancras                  False  
Manchester Piccadilly -&gt; Liverpool Lime Street               True  
Manchester Piccadilly -&gt; London Paddington                  False  
London Paddington -&gt; Oxford                                 False  
Liverpool Lime Street -&gt; Manchester Piccadilly              False  
York -&gt; Peterborough                                        False  
London Kings Cross -&gt; Liverpool Lime Street                 False  
London St Pancras -&gt; Leicester                              False</t>
  </si>
  <si>
    <t xml:space="preserve">D3</t>
  </si>
  <si>
    <t xml:space="preserve">الإيرادات</t>
  </si>
  <si>
    <t xml:space="preserve">إيه نسبة الإيراد اللي بتيجي من أعلى 20% من الخطوط؟ (Pareto)</t>
  </si>
  <si>
    <t xml:space="preserve">What share of revenue comes from the top 20% of routes? (Pareto)</t>
  </si>
  <si>
    <t xml:space="preserve">Departure Station, Arrival Destination, Price</t>
  </si>
  <si>
    <t xml:space="preserve">Python</t>
  </si>
  <si>
    <t xml:space="preserve">#36, #63</t>
  </si>
  <si>
    <t xml:space="preserve">rev = df.groupby("route").Price.sum().sort_values(ascending=False).reset_index()
rev["cum_share"] = rev.Price.cumsum() / rev.Price.sum()
top20 = int(len(rev) * 0.2)
print(f"Routes: {len(rev)} | top 20% = {top20} routes -&gt; {rev.loc[:top20 - 1, 'Price'].sum() / rev.Price.sum():.1%} of revenue")
print("Routes needed for 80% of revenue:", (rev.cum_share &lt; 0.8).sum() + 1)
fig, ax = plt.subplots(figsize=(10, 4)); ax.bar(range(len(rev)), rev.Price, color="#4C78A8"); ax.set_ylabel("Revenue")
ax2 = ax.twinx(); ax2.plot(range(len(rev)), rev.cum_share * 100, color="#E45756"); ax2.axhline(80, ls="--", color="gray"); ax2.set_ylabel("Cumulative %")
ax.set_title("Pareto: revenue by route"); plt.show()</t>
  </si>
  <si>
    <t xml:space="preserve">Routes: 65 | top 20% = 13 routes -&gt; 87.4% of revenue
Routes needed for 80% of revenue: 9
[chart - see notebook]</t>
  </si>
  <si>
    <t xml:space="preserve">D1</t>
  </si>
  <si>
    <t xml:space="preserve">هل نمو الإيراد الشهري سببه زيادة عدد التذاكر ولا ارتفاع متوسط السعر؟</t>
  </si>
  <si>
    <t xml:space="preserve">Is monthly revenue growth driven by ticket volume or by higher average price?</t>
  </si>
  <si>
    <t xml:space="preserve">Date of Journey, Price</t>
  </si>
  <si>
    <t xml:space="preserve">#35, #48</t>
  </si>
  <si>
    <t xml:space="preserve">m = df.groupby("month").agg(tickets=("Price", "size"), revenue=("Price", "sum"))
m["avg_price"] = m.revenue / m.tickets
m["revenue_change"] = m.revenue.diff()
m["volume_effect"] = m.tickets.diff() * m.avg_price.shift()   # (t1-t0) * p0
m["price_effect"] = m.avg_price.diff() * m.tickets            # (p1-p0) * t1
print(m.round(1))
print("\nvolume_effect + price_effect = revenue_change (exact decomposition)")</t>
  </si>
  <si>
    <t xml:space="preserve">tickets  revenue  avg_price  revenue_change  volume_effect  \
month                                                                 
2024-01     8111   199618       24.6             NaN            NaN   
2024-02     7644   159374       20.8        -40244.0       -11493.2   
2024-03     8117   195147       24.0         35773.0         9861.8   
2024-04     7781   187782       24.1         -7365.0        -8078.0   
         price_effect  
month                  
2024-01           NaN  
2024-02      -28750.8  
2024-03       25911.2  
2024-04         713.0  
volume_effect + price_effect = revenue_change (exact decomposition)</t>
  </si>
  <si>
    <t xml:space="preserve">F1</t>
  </si>
  <si>
    <t xml:space="preserve">توقع</t>
  </si>
  <si>
    <t xml:space="preserve">كام عدد الرحلات المتوقع في مايو 2024، وإيه هامش الخطأ؟</t>
  </si>
  <si>
    <t xml:space="preserve">How many journeys are expected in May 2024, and what is the error margin?</t>
  </si>
  <si>
    <t xml:space="preserve">Date of Journey</t>
  </si>
  <si>
    <t xml:space="preserve">Python (scikit-learn)</t>
  </si>
  <si>
    <t xml:space="preserve">#42</t>
  </si>
  <si>
    <t xml:space="preserve">from sklearn.linear_model import Ridge
from sklearn.metrics import mean_absolute_error
MAY = pd.date_range("2024-05-01", "2024-05-31")
def design(idx, t0):
    X = pd.get_dummies(pd.Series(pd.Categorical(idx.dayofweek, categories=range(7)), index=idx)).astype(int)
    X.columns = [f"dow{c}" for c in X.columns]       # عمود لكل يوم أسبوع
    X["t"] = (idx - t0).days                          # الاتجاه العام
    return X
def fit_forecast(series, horizon=MAY, holdout=28):
    t0 = series.index[0]; X = design(series.index, t0)
    m = Ridge(alpha=1.0).fit(X.iloc[:-holdout], series.iloc[:-holdout])
    mae   = mean_absolute_error(series.iloc[-holdout:], m.predict(X.iloc[-holdout:]))
    naive = mean_absolute_error(series.iloc[-holdout:], series.shift(7).iloc[-holdout:])
    m = Ridge(alpha=1.0).fit(X, series)
    resid = (series - m.predict(X)).std()
    fc = pd.Series(m.predict(design(horizon, t0)), index=horizon).clip(lower=0)
    return fc, mae, naive, resid
daily = df.groupby("jd").size().reindex(pd.date_range(df["jd"].min(), df["jd"].max()), fill_value=0)
fc, mae, naive, sd = fit_forecast(daily)
print(f"Forecast journeys May 2024: {fc.sum():,.0f}  (95% interval about +/- {1.96 * sd * np.sqrt(len(fc)):,.0f})")
print(f"Holdout MAE: model {mae:.1f} vs same-day-last-week {naive:.1f} tickets/day")</t>
  </si>
  <si>
    <t xml:space="preserve">Forecast journeys May 2024: 8,304  (95% interval about +/- 423)
Holdout MAE: model 21.9 vs same-day-last-week 32.4 tickets/day</t>
  </si>
  <si>
    <t xml:space="preserve">F2</t>
  </si>
  <si>
    <t xml:space="preserve">إيه الإيراد المتوقع لكل يوم في مايو، ومتى أيام الذروة؟</t>
  </si>
  <si>
    <t xml:space="preserve">What is the forecasted revenue per day in May, and when are the peak days?</t>
  </si>
  <si>
    <t xml:space="preserve">#43</t>
  </si>
  <si>
    <t xml:space="preserve">rev_daily = df.groupby("jd")["Price"].sum().reindex(pd.date_range(df["jd"].min(), df["jd"].max()), fill_value=0)
fcr, mae_r, naive_r, _ = fit_forecast(rev_daily)
print(f"Forecast revenue May 2024: {fcr.sum():,.0f} | holdout MAE model {mae_r:.0f} vs naive {naive_r:.0f}")
print(fcr.sort_values(ascending=False).head(5).round(0))
rev_daily.plot(figsize=(10, 3), label="actual"); fcr.plot(label="forecast May", color="red")
plt.legend(); plt.title("Daily revenue: actual + May forecast"); plt.show()
fcr.round(0).to_csv("forecast_may_daily_revenue.csv", header=["forecast_revenue"])</t>
  </si>
  <si>
    <t xml:space="preserve">Forecast revenue May 2024: 195,893 | holdout MAE model 880 vs naive 991
2024-05-29    6862.0
2024-05-22    6846.0
2024-05-15    6831.0
2024-05-08    6816.0
2024-05-01    6800.0
dtype: float64
[chart - see notebook]</t>
  </si>
  <si>
    <t xml:space="preserve">F3</t>
  </si>
  <si>
    <t xml:space="preserve">إيه الطلب المتوقع على كل درجة ونوع تذكرة (Standard/First × Advance/Off-Peak/Anytime)؟</t>
  </si>
  <si>
    <t xml:space="preserve">What is the expected demand per ticket class and ticket type?</t>
  </si>
  <si>
    <t xml:space="preserve">Ticket Class, Ticket Type, Date of Journey</t>
  </si>
  <si>
    <t xml:space="preserve">#44</t>
  </si>
  <si>
    <t xml:space="preserve">
rows = []
full = pd.date_range(df["jd"].min(), df["jd"].max())
for cls, typ in product(df["Ticket Class"].unique(), df["Ticket Type"].unique()):
    s = df[(df["Ticket Class"] == cls) &amp; (df["Ticket Type"] == typ)].groupby("jd").size().reindex(full, fill_value=0)
    f, *_ = fit_forecast(s)
    rows.append({"class": cls, "ticket_type": typ, "Jan-Apr/day": round(s.mean(), 1), "May total": round(f.sum()), "May/day": round(f.mean(), 1)})
print(pd.DataFrame(rows).sort_values("May total", ascending=False).to_string(index=False))</t>
  </si>
  <si>
    <t xml:space="preserve">class ticket_type  Jan-Apr/day  May total  May/day
   Standard     Advance        130.6       3921    126.5
   Standard    Off-Peak         65.7       2204     71.1
   Standard     Anytime         40.1       1353     43.6
First Class     Advance         14.6        426     13.8
First Class    Off-Peak          6.6        244      7.9
First Class     Anytime          4.0        155      5.0</t>
  </si>
  <si>
    <t xml:space="preserve">D14</t>
  </si>
  <si>
    <t xml:space="preserve">الأداء</t>
  </si>
  <si>
    <t xml:space="preserve">لكل سبب تأخير، إيه متوسط مدة التأخير بالدقائق؟ (أكتر سبب تكراراً مش بالضرورة الأطول)</t>
  </si>
  <si>
    <t xml:space="preserve">For each delay reason, what is the average delay in minutes? (The most frequent cause is not necessarily the longest)</t>
  </si>
  <si>
    <t xml:space="preserve">Reason for Delay, Arrival Time, Actual Arrival Time</t>
  </si>
  <si>
    <t xml:space="preserve">#37, #54</t>
  </si>
  <si>
    <t xml:space="preserve">t = df[df.delayed].groupby("Reason for Delay").delay_min.agg(delays="size", avg_min="mean", median_min="median", max_min="max").round(1)
print(t.sort_values("avg_min", ascending=False))
print("\nMost frequent cause:", t.delays.idxmax(), "| longest average:", t.avg_min.idxmax())</t>
  </si>
  <si>
    <t xml:space="preserve">delays  avg_min  median_min  max_min
Reason for Delay                                        
Staff Shortage         183     74.9        50.0    179.0
Signal Failure         451     51.8        37.0    180.0
Weather                758     46.8        48.0     99.0
Traffic                 87     32.3        26.0     89.0
Weather Conditions     169     30.5        29.0     69.0
Staffing               172     25.9        20.5     88.0
Technical Issue        472     24.9        24.0     80.0
Most frequent cause: Weather | longest average: Staff Shortage</t>
  </si>
  <si>
    <t xml:space="preserve">D19</t>
  </si>
  <si>
    <t xml:space="preserve">هل مدة التأخير بتأثر على احتمال طلب الاسترداد؟ من أي حد بيبدأ العملاء يطلبوا؟</t>
  </si>
  <si>
    <t xml:space="preserve">Does delay length affect refund likelihood? At what threshold do customers start requesting?</t>
  </si>
  <si>
    <t xml:space="preserve">Arrival Time, Actual Arrival Time, Refund Request</t>
  </si>
  <si>
    <t xml:space="preserve">#38</t>
  </si>
  <si>
    <t xml:space="preserve">d = df[df["delayed"]].copy()
d["delay_bucket"] = pd.cut(d["delay_min"], [-1, 15, 30, 45, 60, 90, 200])
print(d.groupby("delay_bucket", observed=True).agg(journeys=("refund", "size"), refund_rate=("refund", "mean")).round(3))
print("corr(delay_min, refund):", round(d["delay_min"].corr(d["refund"].astype(int)), 3))</t>
  </si>
  <si>
    <t xml:space="preserve">journeys  refund_rate
delay_bucket                       
(-1, 15]           450        0.458
(15, 30]           505        0.461
(30, 45]           531        0.181
(45, 60]           483        0.023
(60, 90]           140        0.000
(90, 200]          183        0.000
corr(delay_min, refund): -0.36</t>
  </si>
  <si>
    <t xml:space="preserve">D22</t>
  </si>
  <si>
    <t xml:space="preserve">العملاء</t>
  </si>
  <si>
    <t xml:space="preserve">مدة الحجز المسبق: إزاي بتتوزع، وهل الحجز المبكر أرخص فعلاً؟</t>
  </si>
  <si>
    <t xml:space="preserve">How is booking lead time distributed, and is booking earlier actually cheaper?</t>
  </si>
  <si>
    <t xml:space="preserve">Date of Purchase, Date of Journey, Price</t>
  </si>
  <si>
    <t xml:space="preserve">#41, #59</t>
  </si>
  <si>
    <t xml:space="preserve">print("Lead time days:", df.lead_days.describe().round(1).to_dict())
print(df.groupby(pd.cut(df.lead_days, [-1, 0, 1, 3, 7, 14, 30]), observed=True).Price.agg(tickets="size", avg_price="mean").round(1))
print("corr(lead_days, price):", round(df.lead_days.corr(df.Price), 3))
print(df.groupby(["Ticket Type", df.lead_days.eq(0)]).Price.mean().unstack().round(1).rename(columns={False: "booked ahead", True: "same day"}))
print("Note: in this data every Advance ticket is booked 1+ days ahead and every Anytime/Off-Peak ticket is bought same day,")
print("so the same-day premium is really the ticket-type price difference (lead time and ticket type overlap).")</t>
  </si>
  <si>
    <t xml:space="preserve">Lead time days: {'count': 31653.0, 'mean': 1.7, 'std': 3.9, 'min': 0.0, '25%': 0.0, '50%': 1.0, '75%': 1.0, 'max': 28.0}
           tickets  avg_price
lead_days                    
(-1, 0]      14092       30.7
(0, 1]       13744       17.6
(1, 3]         651       18.0
(3, 7]         940       17.0
(7, 14]       1256       17.2
(14, 30]       970       18.7
corr(lead_days, price): -0.081
lead_days    booked ahead  same day
Ticket Type                        
Advance              17.6       NaN
Anytime               NaN      39.2
Off-Peak              NaN      25.5
Note: in this data every Advance ticket is booked 1+ days ahead and every Anytime/Off-Peak ticket is bought same day,
so the same-day premium is really the ticket-type price difference (lead time and ticket type overlap).</t>
  </si>
  <si>
    <t xml:space="preserve">D2</t>
  </si>
  <si>
    <t xml:space="preserve">أنهي خطوط إيرادها عالي برحلات قليلة (فرصة تسعير)، وأنهي خطوط رحلاتها كتير بإيراد ضعيف؟</t>
  </si>
  <si>
    <t xml:space="preserve">Which routes have high revenue but low volume (pricing opportunity), and which have high volume but low revenue?</t>
  </si>
  <si>
    <t xml:space="preserve">#49</t>
  </si>
  <si>
    <t xml:space="preserve">r = df.groupby("route").agg(tickets=("Price", "size"), revenue=("Price", "sum"), avg_price=("Price", "mean"))
r["volume_rank"] = r.tickets.rank(ascending=False); r["revenue_rank"] = r.revenue.rank(ascending=False)
r["gap"] = r.volume_rank - r.revenue_rank
print("High revenue relative to volume (pricing power):\n", r.sort_values("gap", ascending=False).head(5).round(1))
print("\nHigh volume but weak revenue:\n", r.sort_values("gap").head(5).round(1))</t>
  </si>
  <si>
    <t xml:space="preserve">High revenue relative to volume (pricing power):
                                             tickets  revenue  avg_price  \
route                                                                     
Liverpool Lime Street -&gt; London St Pancras       31     3248      104.8   
London Paddington -&gt; Manchester Piccadilly       30     2818       93.9   
Liverpool Lime Street -&gt; London Paddington       27     2699      100.0   
Manchester Piccadilly -&gt; London St Pancras       16     1593       99.6   
Reading -&gt; Liverpool Lime Street                 16     1506       94.1   
                                            volume_rank  revenue_rank   gap  
route                                                                        
Liverpool Lime Street -&gt; London St Pancras         47.0          20.0  27.0  
London Paddington -&gt; Manchester Piccadilly         48.0          22.0  26.0  
Liverpool Lime Street -&gt; London Paddington         49.0          24.0  25.0  
Manchester Piccadilly -&gt; London St Pancras         56.0          35.0  21.0  
Reading -&gt; Liverpool Lime Street                   56.0          38.0  18.0  
High volume but weak revenue:
                                     tickets  revenue  avg_price  volume_rank  \
route                                                                          
Manchester Piccadilly -&gt; Sheffield      171      731        4.3         23.0   
York -&gt; Doncaster                       211     1311        6.2         19.0   
Birmingham New Street -&gt; Stafford       190     1365        7.2         21.0   
York -&gt; Durham                          258     1983        7.7         13.0   
Birmingham New Street -&gt; Coventry        65      269        4.1         38.5   
                                    revenue_rank   gap  
route                                                   
Manchester Piccadilly -&gt; Sheffield          49.0 -26.0  
York -&gt; Doncaster                           43.0 -24.0  
Birmingham New Street -&gt; Stafford           41.0 -20.0  
York -&gt; Durham                              32.0 -19.0  
Birmingham New Street -&gt; Coventry           57.0 -18.5</t>
  </si>
  <si>
    <t xml:space="preserve">D6</t>
  </si>
  <si>
    <t xml:space="preserve">التذاكر</t>
  </si>
  <si>
    <t xml:space="preserve">هل First Class متركزة في خطوط أو أوقات معينة؟ وهل مربحة بالنسبة لنسبة تأخيرها؟</t>
  </si>
  <si>
    <t xml:space="preserve">Is First Class concentrated on specific routes or times, and is it profitable relative to its delay rate?</t>
  </si>
  <si>
    <t xml:space="preserve">Ticket Class, Departure Time, Price, Journey Status</t>
  </si>
  <si>
    <t xml:space="preserve">#65</t>
  </si>
  <si>
    <t xml:space="preserve">df["first"] = df["Ticket Class"].eq("First Class")
print("First Class share peak vs off-peak:", df.groupby("peak")["first"].mean().round(3).to_dict())
fr = df.groupby("route").agg(tickets=("Price", "size"), first_share=("first", "mean"))
print("\nTop routes by First share (&gt;=200 tickets):\n", fr[fr.tickets &gt;= 200].sort_values("first_share", ascending=False).head(5).round(3))
risk = (df.cancelled | df.refund)
s = df.assign(risk_price=df.Price.where(risk, 0)).groupby("Ticket Class").agg(tickets=("Price", "size"), avg_price=("Price", "mean"), disrupted=("disrupted", "mean"), risk_price=("risk_price", "sum"), revenue=("Price", "sum"))
s["revenue_at_risk_%"] = s.risk_price / s.revenue * 100
print("\nProfitability vs disruption:\n", s.drop(columns=["risk_price"]).round(2))</t>
  </si>
  <si>
    <t xml:space="preserve">First Class share peak vs off-peak: {'Off-Peak': 0.096, 'Peak': 0.098}
Top routes by First share (&gt;=200 tickets):
                                             tickets  first_share
route                                                           
London Euston -&gt; Manchester Piccadilly          712        0.119
Birmingham New Street -&gt; London St Pancras      702        0.115
York -&gt; Doncaster                               211        0.114
York -&gt; Peterborough                            242        0.112
London Paddington -&gt; Reading                   3873        0.106
Profitability vs disruption:
               tickets  avg_price  disrupted  revenue  revenue_at_risk_%
Ticket Class                                                           
First Class      3058      48.86       0.14   149399               9.03
Standard        28595      20.72       0.13   592522               9.81</t>
  </si>
  <si>
    <t xml:space="preserve">D7</t>
  </si>
  <si>
    <t xml:space="preserve">هل أصحاب الـ Railcard بيسافروا في أوقات مختلفة (Off-Peak أكتر مثلاً)؟</t>
  </si>
  <si>
    <t xml:space="preserve">Do railcard holders travel at different times (e.g., more Off-Peak) than non-holders?</t>
  </si>
  <si>
    <t xml:space="preserve">Railcard, Ticket Type, Departure Time</t>
  </si>
  <si>
    <t xml:space="preserve">#66</t>
  </si>
  <si>
    <t xml:space="preserve">print((pd.crosstab(df.Railcard, df["Ticket Type"], normalize="index") * 100).round(1))
print("\nShare of peak-hour travel by railcard (%):\n", (df.groupby("Railcard")["peak"].apply(lambda x: (x == "Peak").mean()) * 100).round(1))</t>
  </si>
  <si>
    <t xml:space="preserve">Ticket Type  Advance  Anytime  Off-Peak
Railcard                               
Adult           55.9     16.7      27.3
Disabled        53.8     17.8      28.5
Senior          55.9     21.8      22.4
Share of peak-hour travel by railcard (%):
 Railcard
Adult       50.8
Disabled    33.9
Senior      51.7
Name: peak, dtype: float64</t>
  </si>
  <si>
    <t xml:space="preserve">D8</t>
  </si>
  <si>
    <t xml:space="preserve">(تقدير) كام الإيراد اللي بنتنازل عنه بسبب خصومات Railcard مقارنة بمتوسط سعر نفس الخط بدون كارت؟</t>
  </si>
  <si>
    <t xml:space="preserve">(Estimate) How much revenue is given up via railcard discounts, compared to the same route's average price without a card?</t>
  </si>
  <si>
    <t xml:space="preserve">Railcard, Price, route</t>
  </si>
  <si>
    <t xml:space="preserve">Reworded</t>
  </si>
  <si>
    <t xml:space="preserve">#67</t>
  </si>
  <si>
    <t xml:space="preserve">base = df[df.Railcard == "No Railcard"].groupby(["route", "Ticket Type"]).Price.mean().rename("base_price").reset_index()
h = df[df.Railcard != "No Railcard"].merge(base, on=["route", "Ticket Type"], how="left").dropna(subset=["base_price"])
h["gap"] = h.base_price - h.Price
print("ESTIMATE (no base fare in data): gap vs average no-railcard price on same route + ticket type")
print(h.groupby("Railcard").agg(tickets=("gap", "size"), avg_gap=("gap", "mean"), total_gap=("gap", "sum")).round(1))
print("Total estimated discount given:", round(h.gap.sum()), "=", f"{h.gap.sum() / df.Price.sum():.1%} of actual revenue")</t>
  </si>
  <si>
    <t xml:space="preserve">ESTIMATE (no base fare in data): gap vs average no-railcard price on same route + ticket type
Empty DataFrame
Columns: [tickets, avg_gap, total_gap]
Index: []
Total estimated discount given: 0 = 0.0% of actual revenue</t>
  </si>
  <si>
    <t xml:space="preserve">D9</t>
  </si>
  <si>
    <t xml:space="preserve">الرحلات</t>
  </si>
  <si>
    <t xml:space="preserve">هل الخطوط الأكثر ازدحاماً هي نفسها الأعلى تأخيراً؟</t>
  </si>
  <si>
    <t xml:space="preserve">Are the busiest routes also the most delayed?</t>
  </si>
  <si>
    <t xml:space="preserve">Departure Station, Arrival Destination, Journey Status</t>
  </si>
  <si>
    <t xml:space="preserve">#68</t>
  </si>
  <si>
    <t xml:space="preserve">r = df.groupby("route").agg(tickets=("Price", "size"), disruption_rate=("disrupted", "mean"))
r = r[r.tickets &gt;= 100]
print("Correlation (tickets vs disruption rate) across", len(r), "routes:", round(r.tickets.corr(r.disruption_rate), 3))
print((r.sort_values("tickets", ascending=False).head(10).assign(disruption_rate=lambda x: (x.disruption_rate * 100).round(1))))</t>
  </si>
  <si>
    <t xml:space="preserve">Correlation (tickets vs disruption rate) across 34 routes: -0.049
                                                tickets  disruption_rate
route                                                                   
Manchester Piccadilly -&gt; Liverpool Lime Street     4628             13.9
London Euston -&gt; Birmingham New Street             4209             10.8
London Kings Cross -&gt; York                         3922              8.4
London Paddington -&gt; Reading                       3873              9.1
London St Pancras -&gt; Birmingham New Street         3471              7.9
Liverpool Lime Street -&gt; Manchester Piccadilly     3002              7.7
Liverpool Lime Street -&gt; London Euston             1097             80.1
London Euston -&gt; Manchester Piccadilly              712              6.3
Birmingham New Street -&gt; London St Pancras          702              7.3
London Paddington -&gt; Oxford                         485             13.0</t>
  </si>
  <si>
    <t xml:space="preserve">D10</t>
  </si>
  <si>
    <t xml:space="preserve">إيه خريطة الحرارة (Heatmap) لعدد الرحلات حسب ساعة الانطلاق × يوم الأسبوع؟</t>
  </si>
  <si>
    <t xml:space="preserve">What does the heatmap of trips by departure hour × day of week look like?</t>
  </si>
  <si>
    <t xml:space="preserve">Departure Time, Date of Journey</t>
  </si>
  <si>
    <t xml:space="preserve">#50</t>
  </si>
  <si>
    <t xml:space="preserve">heat = df.pivot_table(index="dep_hour", columns="weekday", values="Price", aggfunc="size", fill_value=0)[order]
print(heat)
plt.figure(figsize=(7, 6)); plt.imshow(heat, aspect="auto", cmap="YlOrRd"); plt.colorbar(label="tickets")
plt.xticks(range(7), [d[:3] for d in order]); plt.yticks(range(24), heat.index); plt.title("Tickets: departure hour x weekday"); plt.show()</t>
  </si>
  <si>
    <t xml:space="preserve">weekday   Monday  Tuesday  Wednesday  Thursday  Friday  Saturday  Sunday
dep_hour                                                                
0            115      119        121       141     104       134     119
1            100       79         83       104      93       102      83
2            133      125        136       132     130       131     155
3             65       76         81        95      69        77      80
4            126      153        143       162     143       166     148
5             97      121        106       114      91       103      93
6            458      453        452       455     442       417     435
7            386      416        411       361     396       399     426
8            302      302        335       319     323       304     294
9            180      187        149       189     179       164     182
10            61       82         66        88      81        72      75
11           146      157        177       165     181       158     159
12           116       99        123       112      90       112     121
13           170      184        218       160     175       185     184
14           156      119        117       125     112       109     117
15           173      171        166       196     171       159     184
16           336      340        354       310     334       300     327
17           407      419        428       445     385       395     409
18           417      496        486       432     374       433     475
19            60       70         69        43      68        55      73
20           151      143        159       141     144       162     158
21            80       83         92        78      78        75      84
22           109      115        122       120      96       112     114
23            92       98         98        93      92        83      85
[chart - see notebook]</t>
  </si>
  <si>
    <t xml:space="preserve">D13</t>
  </si>
  <si>
    <t xml:space="preserve">هل التأخير بيزيد في ساعات الذروة؟ وهل في فرق بين أيام الأسبوع والويك إند؟</t>
  </si>
  <si>
    <t xml:space="preserve">Does delay probability rise at peak hours, and does it differ between weekdays and weekends?</t>
  </si>
  <si>
    <t xml:space="preserve">Departure Time, Date of Journey, Journey Status</t>
  </si>
  <si>
    <t xml:space="preserve">#53</t>
  </si>
  <si>
    <t xml:space="preserve"># Define the 'peak' column based on departure hours (e.g., peak hours are 7-9 and 16-18)
df["peak"] = df["dep_hour"].isin([7, 8, 9, 16, 17, 18]).map({True: "Peak", False: "Off-Peak"})
print("By hour:\n", rates("dep_hour"))
print("\nPeak vs off-peak:\n", rates("peak"))
print("\nWeekend vs weekday:\n", rates("is_weekend"))
print("\nBy weekday:\n", rates("weekday").reindex(order))</t>
  </si>
  <si>
    <t xml:space="preserve">By hour:
           tickets  delayed_pct  cancelled_pct
dep_hour                                     
0             853          2.0            5.7
1             644          2.2            3.6
2             942          0.0            6.8
3             543         23.0            2.0
4            1041          1.5            4.4
5             725          5.1            3.0
6            3112          2.4            6.0
7            2795          0.5            9.1
8            2179         33.4            6.8
9            1230         18.0            3.7
10            525          0.0            3.2
11           1143         26.2            4.9
12            773          0.0            6.0
13           1276          0.0            4.9
14            855          1.8            4.9
15           1220         11.7            7.5
16           2301          9.0            4.5
17           2888         13.2            6.2
18           3113          0.0           10.0
19            438          0.0            2.7
20           1058          0.0            3.4
21            570          0.0            2.8
22            788          0.0            3.3
23            641          0.0            5.0
Peak vs off-peak:
           tickets  delayed_pct  cancelled_pct
peak                                         
Off-Peak    17147          4.3            4.9
Peak        14506         10.7            7.2
Weekend vs weekday:
             tickets  delayed_pct  cancelled_pct
is_weekend                                     
False         22666          7.5            5.7
True           8987          6.6            6.5
By weekday:
            tickets  delayed_pct  cancelled_pct
weekday                                       
Monday        4436          7.1            5.7
Tuesday       4607          7.6            6.4
Wednesday     4692          7.2            6.2
Thursday      4580          8.5            5.3
Friday        4351          7.1            4.8
Saturday      4407          6.6            6.6
Sunday        4580          6.6            6.5</t>
  </si>
  <si>
    <t xml:space="preserve">D15</t>
  </si>
  <si>
    <t xml:space="preserve">هل في خطوط أو محطات بتتكرر فيها نفس أسباب التأخير؟</t>
  </si>
  <si>
    <t xml:space="preserve">Are there routes or stations where the same delay cause keeps recurring?</t>
  </si>
  <si>
    <t xml:space="preserve">Reason for Delay, Departure Station, Arrival Destination</t>
  </si>
  <si>
    <t xml:space="preserve">#55</t>
  </si>
  <si>
    <t xml:space="preserve">x = df[df.disrupted].groupby(["route", "Reason for Delay"]).size().unstack(fill_value=0)
x["n"] = x.sum(axis=1)
reasons = [c for c in x.columns if c != "n"]
x["top_reason"] = x[reasons].idxmax(axis=1)
x["top_share_%"] = (x[reasons].max(axis=1) / x.n * 100).round(1)
print("Overall top-reason share:", round(df[df.disrupted]["Reason for Delay"].value_counts(normalize=True).iloc[0] * 100, 1), "%")
print(x[x.n &gt;= 40].sort_values("top_share_%", ascending=False)[["n", "top_reason", "top_share_%"]].head(10))</t>
  </si>
  <si>
    <t xml:space="preserve">Overall top-reason share: 23.8 %
Reason for Delay                                  n          top_reason  \
route                                                                     
Edinburgh Waverley -&gt; London Kings Cross         51            Staffing   
Manchester Piccadilly -&gt; Leeds                   65      Signal Failure   
Birmingham New Street -&gt; Manchester Piccadilly  114     Technical Issue   
Birmingham New Street -&gt; London Euston           49             Weather   
Liverpool Lime Street -&gt; London Euston          879             Weather   
Liverpool Lime Street -&gt; Manchester Piccadilly  231     Technical Issue   
London Kings Cross -&gt; York                      329      Signal Failure   
London Euston -&gt; Birmingham New Street          453      Signal Failure   
London St Pancras -&gt; Birmingham New Street      273      Signal Failure   
Manchester Piccadilly -&gt; London Euston          243  Weather Conditions   
Reason for Delay                                top_share_%  
route                                                        
Edinburgh Waverley -&gt; London Kings Cross              100.0  
Manchester Piccadilly -&gt; Leeds                         98.5  
Birmingham New Street -&gt; Manchester Piccadilly         84.2  
Birmingham New Street -&gt; London Euston                 67.3  
Liverpool Lime Street -&gt; London Euston                 60.0  
Liverpool Lime Street -&gt; Manchester Piccadilly         44.6  
London Kings Cross -&gt; York                             44.1  
London Euston -&gt; Birmingham New Street                 41.5  
London St Pancras -&gt; Birmingham New Street             40.3  
Manchester Piccadilly -&gt; London Euston                 32.5</t>
  </si>
  <si>
    <t xml:space="preserve">D20</t>
  </si>
  <si>
    <t xml:space="preserve">أنهي فئات (درجة / نوع / Railcard) أكتر طلباً للاسترداد؟</t>
  </si>
  <si>
    <t xml:space="preserve">Which segments (class, type, railcard) request refunds the most?</t>
  </si>
  <si>
    <t xml:space="preserve">Ticket Class, Ticket Type, Railcard, Refund Request</t>
  </si>
  <si>
    <t xml:space="preserve">#57</t>
  </si>
  <si>
    <t xml:space="preserve">for col in ["Ticket Class", "Ticket Type", "Railcard"]:
    print(f"\nRefund rate by {col} (%), all journeys vs disrupted only:")
    print(pd.DataFrame({"all": df.groupby(col).refund.mean() * 100, "disrupted_only": df[df.disrupted].groupby(col).refund.mean() * 100}).round(2))</t>
  </si>
  <si>
    <t xml:space="preserve">Refund rate by Ticket Class (%), all journeys vs disrupted only:
               all  disrupted_only
Ticket Class                      
First Class   3.70           27.10
Standard      3.51           26.76
Refund rate by Ticket Type (%), all journeys vs disrupted only:
              all  disrupted_only
Ticket Type                      
Advance      3.48           27.13
Anytime      2.58           16.22
Off-Peak     4.22           34.52
Refund rate by Railcard (%), all journeys vs disrupted only:
           all  disrupted_only
Railcard                      
Adult     8.71           47.63
Disabled  1.94           18.40
Senior    4.29           43.17</t>
  </si>
  <si>
    <t xml:space="preserve">X2</t>
  </si>
  <si>
    <t xml:space="preserve">هل ركاب First Class هم الأكثر طلباً للاسترداد؟ (مبدئياً 3.7% مقابل 3.5%)</t>
  </si>
  <si>
    <t xml:space="preserve">Are First Class passengers the most likely to request refunds? (initially 3.7% vs 3.5%)</t>
  </si>
  <si>
    <t xml:space="preserve">Ticket Class, Refund Request</t>
  </si>
  <si>
    <t xml:space="preserve">#85</t>
  </si>
  <si>
    <t xml:space="preserve">
ct = pd.crosstab(df["Ticket Class"], df.refund)
print((df.groupby("Ticket Class").refund.mean() * 100).round(2).rename("refund_rate_%"))
print("Chi-square p-value:", round(chi2_contingency(ct)[1], 3), "(p &gt; 0.05 means no significant difference)")</t>
  </si>
  <si>
    <t xml:space="preserve">Ticket Class
First Class    3.70
Standard       3.51
Name: refund_rate_%, dtype: float64
Chi-square p-value: 0.644 (p &gt; 0.05 means no significant difference)</t>
  </si>
  <si>
    <t xml:space="preserve">X4</t>
  </si>
  <si>
    <t xml:space="preserve">هل ساعات الذروة هي الأعلى إيراداً وفي نفس الوقت الأعلى تأخيراً؟</t>
  </si>
  <si>
    <t xml:space="preserve">Are peak hours both the highest revenue and the highest delay?</t>
  </si>
  <si>
    <t xml:space="preserve">Departure Time, Price, Journey Status</t>
  </si>
  <si>
    <t xml:space="preserve">#87</t>
  </si>
  <si>
    <t xml:space="preserve">h = df.groupby("dep_hour").agg(revenue=("Price", "sum"), disruption=("disrupted", "mean"))
h["revenue_share_%"] = (h.revenue / h.revenue.sum() * 100).round(1); h["disruption_%"] = (h.disruption * 100).round(1)
print(h.sort_values("revenue", ascending=False).head(8)[["revenue", "revenue_share_%", "disruption_%"]])
print("corr(hourly revenue, disruption rate):", round(h.revenue.corr(h.disruption), 2))
print("\nPeak vs off-peak:\n", df.groupby("peak").agg(revenue=("Price", "sum"), disruption=("disrupted", "mean")).round(3))</t>
  </si>
  <si>
    <t xml:space="preserve">revenue  revenue_share_%  disruption_%
dep_hour                                        
8          134410             18.1          40.2
7           79747             10.7           9.6
17          75751             10.2          19.4
6           65402              8.8           8.4
18          54391              7.3          10.0
16          41489              5.6          13.5
15          24670              3.3          19.2
13          23105              3.1           4.9
corr(hourly revenue, disruption rate): 0.58
Peak vs off-peak:
           revenue  disruption
peak                         
Off-Peak   334043       0.092
Peak       407878       0.179</t>
  </si>
  <si>
    <t xml:space="preserve">X5</t>
  </si>
  <si>
    <t xml:space="preserve">إزاي بيتوزع الإيراد المفقود على الأسباب والخطوط والفئات مع بعض؟</t>
  </si>
  <si>
    <t xml:space="preserve">How is lost revenue distributed across causes, routes, and segments together?</t>
  </si>
  <si>
    <t xml:space="preserve">Price, Reason for Delay, route, Ticket Class</t>
  </si>
  <si>
    <t xml:space="preserve">#88</t>
  </si>
  <si>
    <t xml:space="preserve">loss = df[df.cancelled | df.refund]
print(loss.pivot_table(index="Reason for Delay", columns="Ticket Class", values="Price", aggfunc="sum", fill_value=0, margins=True))
print("\nTop 8 routes by lost revenue:\n", loss.groupby("route").Price.sum().sort_values(ascending=False).head(8))</t>
  </si>
  <si>
    <t xml:space="preserve">Ticket Class        First Class  Standard    All
Reason for Delay                                
Signal Failure             2983     10804  13787
Staff Shortage             1576      4516   6092
Staffing                   2239     11642  13881
Technical Issue            3193     14992  18185
Traffic                    1251      7169   8420
Weather                    1380      5788   7168
Weather Conditions          862      3226   4088
All                       13484     58137  71621
Top 8 routes by lost revenue:
 route
Liverpool Lime Street -&gt; London Euston        22175
London Kings Cross -&gt; York                    10342
Manchester Piccadilly -&gt; London Euston         8850
London Paddington -&gt; Reading                   4947
London St Pancras -&gt; Birmingham New Street     3927
London Euston -&gt; Manchester Piccadilly         3540
London Euston -&gt; Birmingham New Street         3032
Edinburgh Waverley -&gt; London Kings Cross       2093
Name: Price, dtype: int64</t>
  </si>
  <si>
    <t xml:space="preserve">D23</t>
  </si>
  <si>
    <t xml:space="preserve">هل قناة الشراء (أونلاين / محطة) بتختلف حسب نوع التذكرة والدرجة؟</t>
  </si>
  <si>
    <t xml:space="preserve">Does purchase channel (online vs station) differ by ticket type and class?</t>
  </si>
  <si>
    <t xml:space="preserve">Purchase Type, Ticket Type, Ticket Class</t>
  </si>
  <si>
    <t xml:space="preserve">#60</t>
  </si>
  <si>
    <t xml:space="preserve">print((pd.crosstab(df["Ticket Type"], df["Purchase Type"], normalize="index") * 100).round(1))
print((pd.crosstab(df["Ticket Class"], df["Purchase Type"], normalize="index") * 100).round(1))</t>
  </si>
  <si>
    <t xml:space="preserve">Purchase Type  Online  Station
Ticket Type                   
Advance          58.9     41.1
Anytime          62.4     37.6
Off-Peak         55.4     44.6
Purchase Type  Online  Station
Ticket Class                  
First Class      58.2     41.8
Standard         58.5     41.5</t>
  </si>
  <si>
    <t xml:space="preserve">D24</t>
  </si>
  <si>
    <t xml:space="preserve">هل طريقة الدفع مرتبطة بقيمة التذكرة؟ (مبدئياً متوسط Debit 31.5 وCredit 24.5 وContactless 20.3)</t>
  </si>
  <si>
    <t xml:space="preserve">Is payment method linked to ticket value? (initial averages: Debit 31.5, Credit 24.5, Contactless 20.3)</t>
  </si>
  <si>
    <t xml:space="preserve">Payment Method, Price</t>
  </si>
  <si>
    <t xml:space="preserve">#61</t>
  </si>
  <si>
    <t xml:space="preserve">print(df.groupby("Payment Method").Price.agg(tickets="size", total_value="sum", avg_value="mean").round(1))
print("\nBy channel:\n", df.groupby("Purchase Type").Price.agg(tickets="size", total_value="sum", avg_value="mean").round(1))</t>
  </si>
  <si>
    <t xml:space="preserve">tickets  total_value  avg_value
Payment Method                                 
Contactless       10834       219444       20.3
Credit Card       19136       469511       24.5
Debit Card         1683        52966       31.5
By channel:
                tickets  total_value  avg_value
Purchase Type                                 
Online           18521       382754       20.7
Station          13132       359167       27.4</t>
  </si>
  <si>
    <t xml:space="preserve">F4</t>
  </si>
  <si>
    <t xml:space="preserve">كام عدد الرحلات المتأخرة والملغية المتوقع في مايو، وإيه الإيراد المعرّض للخطر؟</t>
  </si>
  <si>
    <t xml:space="preserve">How many delayed and cancelled journeys are expected in May, and how much revenue is at risk?</t>
  </si>
  <si>
    <t xml:space="preserve">Journey Status, Price, Date of Journey</t>
  </si>
  <si>
    <t xml:space="preserve">#45</t>
  </si>
  <si>
    <t xml:space="preserve">full = pd.date_range(df["jd"].min(), df["jd"].max())
dis      = df.groupby("jd")["disrupted"].sum().reindex(full, fill_value=0)
risk_rev = df[df["cancelled"] | df["refund"]].groupby("jd")["Price"].sum().reindex(full, fill_value=0)
f_dis, *_  = fit_forecast(dis)
f_risk, *_ = fit_forecast(risk_rev)
print(f"May: disrupted journeys ~ {f_dis.sum():,.0f} (avg per 31 days Jan-Apr: {dis.mean() * 31:,.0f})")
print(f"May: revenue at risk ~ {f_risk.sum():,.0f} (avg per 31 days Jan-Apr: {risk_rev.mean() * 31:,.0f})")</t>
  </si>
  <si>
    <t xml:space="preserve">May: disrupted journeys ~ 1,121 (avg per 31 days Jan-Apr: 1,069)
May: revenue at risk ~ 17,961 (avg per 31 days Jan-Apr: 18,349)</t>
  </si>
  <si>
    <t xml:space="preserve">F5</t>
  </si>
  <si>
    <t xml:space="preserve">هل نقدر نتنبأ باحتمال تأخير رحلة قبل ما تحصل (Classification) باستخدام الخط والساعة واليوم والنوع؟</t>
  </si>
  <si>
    <t xml:space="preserve">Can we predict a journey's delay probability beforehand (classification) using route, hour, day, and ticket type?</t>
  </si>
  <si>
    <t xml:space="preserve">Journey Status, route, Departure Time, Date of Journey, Ticket Type</t>
  </si>
  <si>
    <t xml:space="preserve">#46</t>
  </si>
  <si>
    <t xml:space="preserve">from sklearn.compose import ColumnTransformer
from sklearn.preprocessing import TargetEncoder, OneHotEncoder
from sklearn.ensemble import HistGradientBoostingClassifier
from sklearn.model_selection import train_test_split
from sklearn.pipeline import make_pipeline
from sklearn.metrics import roc_auc_score
feat = ["route", "dep_hour", "weekday", "Ticket Type", "Ticket Class", "Purchase Type", "Price", "lead_days"]
y = df["disrupted"].astype(int)
Xtr, Xte, ytr, yte = train_test_split(df[feat], y, test_size=0.25, random_state=42, stratify=y)
pre = ColumnTransformer([
    ("te",  TargetEncoder(cv=5, random_state=42), ["route"]),                       # الخط: 65 قيمة
    ("oh",  OneHotEncoder(handle_unknown="ignore"), ["weekday", "Ticket Type", "Ticket Class", "Purchase Type"]),
    ("num", "passthrough", ["dep_hour", "Price", "lead_days"])])
model = make_pipeline(pre, HistGradientBoostingClassifier(max_depth=3, random_state=42)).fit(Xtr, ytr)
p = model.predict_proba(Xte)[:, 1]
top10 = pd.Series(yte.values)[np.argsort(-p)[: len(p) // 10]].mean()
print(f"Base rate: {y.mean():.1%} | test AUC = {roc_auc_score(yte, p):.3f} (0.5 = random)")
print(f"Precision in highest-risk 10%: {top10:.1%}")</t>
  </si>
  <si>
    <t xml:space="preserve">Base rate: 13.2% | test AUC = 0.799 (0.5 = random)
Precision in highest-risk 10%: 61.1%</t>
  </si>
  <si>
    <t xml:space="preserve">E1</t>
  </si>
  <si>
    <t xml:space="preserve">إيه متوسط سعر التذكرة لكل خط، وأنهي خطوط عندها أعلى تباين في السعر (std وCV)؟</t>
  </si>
  <si>
    <t xml:space="preserve">What is the average ticket price by route, and which routes have the highest price variance (std and CV)?</t>
  </si>
  <si>
    <t xml:space="preserve">Added from 2nd list #5</t>
  </si>
  <si>
    <t xml:space="preserve">#70, #90</t>
  </si>
  <si>
    <t xml:space="preserve">r = df.groupby("route").Price.agg(tickets="size", avg_price="mean", std="std")
r["cv"] = r["std"] / r.avg_price
r = r[r.tickets &gt;= 100]
print("Highest price variance (CV):\n", r.sort_values("cv", ascending=False).head(8).round(2))
print("\nLowest price variance:\n", r.sort_values("cv").head(5).round(2))</t>
  </si>
  <si>
    <t xml:space="preserve">Highest price variance (CV):
                                                 tickets  avg_price    std  \
route                                                                       
Birmingham New Street -&gt; Liverpool Lime Street      175      10.23  13.79   
London Euston -&gt; Birmingham New Street             4209      11.96  15.24   
London St Pancras -&gt; Birmingham New Street         3471      15.23  17.80   
Manchester Piccadilly -&gt; Liverpool Lime Street     4628       3.74   2.63   
Reading -&gt; Swindon                                  228      15.56  10.17   
Liverpool Lime Street -&gt; Manchester Piccadilly     3002       3.98   2.54   
Oxford -&gt; Bristol Temple Meads                      144      19.85  12.64   
Birmingham New Street -&gt; London St Pancras          702      27.08  15.79   
                                                  cv  
route                                                 
Birmingham New Street -&gt; Liverpool Lime Street  1.35  
London Euston -&gt; Birmingham New Street          1.27  
London St Pancras -&gt; Birmingham New Street      1.17  
Manchester Piccadilly -&gt; Liverpool Lime Street  0.70  
Reading -&gt; Swindon                              0.65  
Liverpool Lime Street -&gt; Manchester Piccadilly  0.64  
Oxford -&gt; Bristol Temple Meads                  0.64  
Birmingham New Street -&gt; London St Pancras      0.58  
Lowest price variance:
                                             tickets  avg_price    std    cv
route                                                                      
Manchester Piccadilly -&gt; Nottingham             158      13.97   2.76  0.20
Reading -&gt; London Paddington                    148      16.32   3.85  0.24
Liverpool Lime Street -&gt; Crewe                  193       8.10   2.24  0.28
Manchester Piccadilly -&gt; London Paddington      144     114.11  31.63  0.28
York -&gt; Durham                                  258       7.69   2.36  0.31</t>
  </si>
  <si>
    <t xml:space="preserve">E2</t>
  </si>
  <si>
    <t xml:space="preserve">إيه متوسط مدة الرحلة المجدولة (Arrival − Departure) لكل خط، وهل هي مرتبطة بالسعر؟ (مبدئياً ارتباط 0.61 على مستوى الخطوط)</t>
  </si>
  <si>
    <t xml:space="preserve">What is the average scheduled journey duration per route, and does it correlate with price? (initially 0.61 at route level)</t>
  </si>
  <si>
    <t xml:space="preserve">Departure Time, Arrival Time, Price</t>
  </si>
  <si>
    <t xml:space="preserve">Added from 2nd list #12</t>
  </si>
  <si>
    <t xml:space="preserve">#71, #91</t>
  </si>
  <si>
    <t xml:space="preserve">r = df.groupby("route").agg(duration_min=("dur_min", "mean"), avg_price=("Price", "mean"), tickets=("Price", "size"))
print(r.sort_values("duration_min", ascending=False).head(8).round(1))
print("\ncorr duration vs price (route level): pearson", round(r.duration_min.corr(r.avg_price), 2), "| spearman", round(r.duration_min.corr(r.avg_price, method="spearman"), 2))
print("ticket level pearson:", round(df.dur_min.corr(df.Price), 2))</t>
  </si>
  <si>
    <t xml:space="preserve">duration_min  avg_price  tickets
route                                                                       
Birmingham New Street -&gt; Edinburgh                 270.0       49.9       16
London Kings Cross -&gt; Edinburgh Waverley           260.0       37.3      163
Edinburgh Waverley -&gt; London Kings Cross           260.0       41.0       51
Reading -&gt; Liverpool Lime Street                   150.0       94.1       16
Liverpool Lime Street -&gt; London Paddington         150.0      100.0       27
Liverpool Lime Street -&gt; London St Pancras         150.0      104.8       31
London Paddington -&gt; Liverpool Lime Street         150.0       55.8       44
York -&gt; Edinburgh                                  150.0       26.9      138
corr duration vs price (route level): pearson 0.61 | spearman 0.82
ticket level pearson: 0.63</t>
  </si>
  <si>
    <t xml:space="preserve">E3</t>
  </si>
  <si>
    <t xml:space="preserve">أنهي أعلى أزواج (انطلاق ← وصول) في ذروة الصباح (6–9)؟ (مبدئياً Paddington → Reading بـ 1,510 تذكرة)</t>
  </si>
  <si>
    <t xml:space="preserve">What are the top origin-destination pairs during the morning peak (6-9 am)? (initially Paddington -&gt; Reading, 1,510 tickets)</t>
  </si>
  <si>
    <t xml:space="preserve">Departure Station, Arrival Destination, Departure Time</t>
  </si>
  <si>
    <t xml:space="preserve">Added from 2nd list #13</t>
  </si>
  <si>
    <t xml:space="preserve">#72, #92</t>
  </si>
  <si>
    <t xml:space="preserve">m = df[df.dep_hour.between(6, 9)]
print(f"Morning peak (6-9am): {len(m)} tickets")
print(m.route.value_counts().head(10))
</t>
  </si>
  <si>
    <t xml:space="preserve">Morning peak (6-9am): 9316 tickets
route
London Paddington -&gt; Reading                      1510
London Kings Cross -&gt; York                        1307
Manchester Piccadilly -&gt; Liverpool Lime Street    1098
Liverpool Lime Street -&gt; London Euston             824
London Euston -&gt; Birmingham New Street             758
Liverpool Lime Street -&gt; Manchester Piccadilly     518
Birmingham New Street -&gt; London St Pancras         510
London St Pancras -&gt; Birmingham New Street         499
London Paddington -&gt; Oxford                        485
London Euston -&gt; Manchester Piccadilly             308
Name: count, dtype: int64</t>
  </si>
  <si>
    <t xml:space="preserve">E4</t>
  </si>
  <si>
    <t xml:space="preserve">إيه الإيراد المفقود بسبب الأعطال اللي تعدت 30 دقيقة (مع الملغية)، وكام نسبته من الإيراد؟</t>
  </si>
  <si>
    <t xml:space="preserve">What revenue is lost to disruptions longer than 30 minutes (plus cancellations), and what share of total revenue is it?</t>
  </si>
  <si>
    <t xml:space="preserve">Arrival Time, Actual Arrival Time, Journey Status, Price</t>
  </si>
  <si>
    <t xml:space="preserve">Added from 2nd list #19</t>
  </si>
  <si>
    <t xml:space="preserve">#73, #93</t>
  </si>
  <si>
    <t xml:space="preserve">leak = df[(df.delayed &amp; (df.delay_min &gt; 30)) | df.cancelled]
print("Disruptions &gt;30 min or cancelled:", len(leak), "| ticket revenue affected:", leak.Price.sum(), f"({leak.Price.sum() / df.Price.sum():.1%} of revenue)")
print("Of which refund actually requested:", leak[leak.refund].Price.sum(), f"({leak[leak.refund].Price.sum() / df.Price.sum():.1%} of revenue)")
print(leak.groupby("Journey Status").Price.agg(["size", "sum"]))</t>
  </si>
  <si>
    <t xml:space="preserve">Disruptions &gt;30 min or cancelled: 3217 | ticket revenue affected: 117320 (15.8% of revenue)
Of which refund actually requested: 13950 (1.9% of revenue)
                size    sum
Journey Status             
Cancelled       1880  45456
Delayed         1337  71864</t>
  </si>
  <si>
    <t xml:space="preserve">E5</t>
  </si>
  <si>
    <t xml:space="preserve">هل فرق تباين مدة التأخير بين ساعات الذروة وخارجها معنوي إحصائياً؟ (Levene / Mann-Whitney)</t>
  </si>
  <si>
    <t xml:space="preserve">Is the variance in delay duration between peak and off-peak hours statistically significant? (Levene / Mann-Whitney)</t>
  </si>
  <si>
    <t xml:space="preserve">Departure Time, Actual Arrival Time, Arrival Time</t>
  </si>
  <si>
    <t xml:space="preserve">Python (scipy)</t>
  </si>
  <si>
    <t xml:space="preserve">Added from 2nd list #33</t>
  </si>
  <si>
    <t xml:space="preserve">#74, #94</t>
  </si>
  <si>
    <t xml:space="preserve">from scipy.stats import levene, mannwhitneyu
d = df[df.delayed]
a, b = d[d.peak == "Peak"].delay_min, d[d.peak == "Off-Peak"].delay_min
print(f"Peak: n={len(a)} mean={a.mean():.1f} std={a.std():.1f} | Off-peak: n={len(b)} mean={b.mean():.1f} std={b.std():.1f}")
pl, pm = levene(a, b).pvalue, mannwhitneyu(a, b).pvalue
print(f"Levene (variance difference) p = {pl:.2e} -&gt; {'significant' if pl &lt; 0.05 else 'not significant'} at 5%")
print(f"Mann-Whitney (distribution shift) p = {pm:.2e} -&gt; {'significant' if pm &lt; 0.05 else 'not significant'} at 5%")</t>
  </si>
  <si>
    <t xml:space="preserve">Peak: n=1551 mean=44.5 std=32.2 | Off-peak: n=741 mean=37.5 std=38.4
Levene (variance difference) p = 1.91e-01 -&gt; not significant at 5%
Mann-Whitney (distribution shift) p = 1.78e-22 -&gt; significant at 5%</t>
  </si>
  <si>
    <t xml:space="preserve">D4</t>
  </si>
  <si>
    <t xml:space="preserve">هل في أيام أو أسابيع غير طبيعية في الإيراد (Outliers)، وإيه سببها المحتمل؟ (الرحلات اليومية بين 63 و313)</t>
  </si>
  <si>
    <t xml:space="preserve">Are there anomalous days or weeks in revenue (outliers), and what might explain them? (daily trips range from 63 to 313)</t>
  </si>
  <si>
    <t xml:space="preserve">#64</t>
  </si>
  <si>
    <t xml:space="preserve">daily = df.groupby("jd").Price.sum()
z = (daily - daily.mean()) / daily.std()
out = daily[z.abs() &gt; 2]
print(f"Days with |z|&gt;2: {len(out)} of {len(daily)}")
print(pd.DataFrame({"revenue": out, "z": z[out.index].round(2), "weekday": out.index.day_name()}))
print("Tickets per day: min", df.groupby("jd").size().min(), "max", df.groupby("jd").size().max())
daily.plot(figsize=(10, 3), color="#4C78A8"); plt.scatter(out.index, out.values, color="red"); plt.title("Daily revenue (red = anomalies)"); plt.show()</t>
  </si>
  <si>
    <t xml:space="preserve">Days with |z|&gt;2: 4 of 121
            revenue     z    weekday
jd                                  
2024-01-01     1682 -3.93     Monday
2024-01-31     9196  2.71  Wednesday
2024-03-01     1805 -3.82     Friday
2024-04-01     1562 -4.04     Monday
Tickets per day: min 63 max 313
[chart - see notebook]</t>
  </si>
  <si>
    <t xml:space="preserve">D11</t>
  </si>
  <si>
    <t xml:space="preserve">(معدّل) أنهي محطات الأعلى حركة (انطلاق + وصول)؟</t>
  </si>
  <si>
    <t xml:space="preserve">(Reworded) Which stations have the highest traffic (departures + arrivals)?</t>
  </si>
  <si>
    <t xml:space="preserve">Departure Station, Arrival Destination</t>
  </si>
  <si>
    <t xml:space="preserve">#51</t>
  </si>
  <si>
    <t xml:space="preserve">dep = df["Departure Station"].value_counts(); arr = df["Arrival Destination"].value_counts()
tr = pd.DataFrame({"departures": dep, "arrivals": arr}).fillna(0).astype(int)
tr["total_traffic"] = tr.departures + tr.arrivals
print(tr.sort_values("total_traffic", ascending=False).head(10))</t>
  </si>
  <si>
    <t xml:space="preserve">departures  arrivals  total_traffic
Birmingham New Street        2136      7742           9878
Manchester Piccadilly        5650      3968           9618
Liverpool Lime Street        4561      5022           9583
London Euston                4954      1567           6521
York                          927      4019           4946
London Paddington            4500       351           4851
London St Pancras            3891       749           4640
Reading                       594      3920           4514
London Kings Cross           4229        84           4313
Oxford                        144       623            767</t>
  </si>
  <si>
    <t xml:space="preserve">D12</t>
  </si>
  <si>
    <t xml:space="preserve">هل في خطوط غير متوازنة في الاتجاه (رايح أكتر من جاي)؟</t>
  </si>
  <si>
    <t xml:space="preserve">Are there routes with unbalanced direction (more traffic one way than the other)?</t>
  </si>
  <si>
    <t xml:space="preserve">#52</t>
  </si>
  <si>
    <t xml:space="preserve">f = df.groupby(["Departure Station", "Arrival Destination"]).size().rename("forward").reset_index()
rv = f.rename(columns={"Departure Station": "Arrival Destination", "Arrival Destination": "Departure Station", "forward": "reverse"})
m = f.merge(rv, on=["Departure Station", "Arrival Destination"], how="left").fillna({"reverse": 0})
m["imbalance"] = m.forward - m.reverse
print(m.sort_values("imbalance", ascending=False).head(10).astype({"reverse": int}))
print("\nOne-way flows (no return tickets):", int((m.reverse == 0).sum()), "of", len(m), "directed pairs")</t>
  </si>
  <si>
    <t xml:space="preserve">Departure Station    Arrival Destination  forward  reverse  imbalance
24          London Euston  Birmingham New Street     4209      125     4084.0
30     London Kings Cross                   York     3922        0     3922.0
35      London Paddington                Reading     3873      148     3725.0
36      London St Pancras  Birmingham New Street     3471      702     2769.0
40  Manchester Piccadilly  Liverpool Lime Street     4628     3002     1626.0
19  Liverpool Lime Street          London Euston     1097        0     1097.0
34      London Paddington                 Oxford      485        0      485.0
25          London Euston  Manchester Piccadilly      712      345      367.0
37      London St Pancras              Leicester      337        0      337.0
58                   York                 Durham      258        0      258.0
One-way flows (no return tickets): 43 of 65 directed pairs</t>
  </si>
  <si>
    <t xml:space="preserve">D16</t>
  </si>
  <si>
    <t xml:space="preserve">(معدّل) هل الإلغاءات بتتركز في أيام أو خطوط أو ساعات معينة؟</t>
  </si>
  <si>
    <t xml:space="preserve">(Reworded) Are cancellations clustered on specific days, routes, or hours?</t>
  </si>
  <si>
    <t xml:space="preserve">Journey Status, Date of Journey, Departure Time, route</t>
  </si>
  <si>
    <t xml:space="preserve">#56</t>
  </si>
  <si>
    <t xml:space="preserve">c = df[df.cancelled]
print("Cancellations by weekday:\n", c.groupby("weekday").size().reindex(order))
print("\nTop hours:", c.groupby("dep_hour").size().sort_values(ascending=False).head(5).to_dict())
rt = rates("route")
print("\nRoutes with highest cancellation rate (&gt;=200 tickets):\n", rt[rt.tickets &gt;= 200].sort_values("cancelled_pct", ascending=False).head(5))
dc = c.groupby("jd").size()
print("\nWorst days:\n", dc.sort_values(ascending=False).head(5), "\nDaily cancellations mean/std:", round(dc.mean(), 1), round(dc.std(), 1))</t>
  </si>
  <si>
    <t xml:space="preserve">Cancellations by weekday:
 weekday
Monday       255
Tuesday      296
Wednesday    289
Thursday     242
Friday       211
Saturday     290
Sunday       297
dtype: int64
Top hours: {18: 311, 7: 254, 6: 187, 17: 179, 8: 148}
Routes with highest cancellation rate (&gt;=200 tickets):
                                                 tickets  delayed_pct  \
route                                                                  
London Paddington -&gt; Oxford                         485          0.0   
York -&gt; Peterborough                                242          0.0   
Liverpool Lime Street -&gt; London Euston             1097         71.1   
Birmingham New Street -&gt; Manchester Piccadilly      224         42.9   
London St Pancras -&gt; Birmingham New Street         3471          0.0   
                                                cancelled_pct  
route                                                          
London Paddington -&gt; Oxford                              13.0  
York -&gt; Peterborough                                      9.1  
Liverpool Lime Street -&gt; London Euston                    9.0  
Birmingham New Street -&gt; Manchester Piccadilly            8.0  
London St Pancras -&gt; Birmingham New Street                7.9  
Worst days:
 jd
2024-03-27    35
2024-03-05    32
2024-04-30    32
2024-04-22    31
2024-01-23    31
dtype: int64 
Daily cancellations mean/std: 15.9 7.0</t>
  </si>
  <si>
    <t xml:space="preserve">D25</t>
  </si>
  <si>
    <t xml:space="preserve">هل في شرائح عملاء واضحة؟ (مثلاً أونلاين + Advance + حجز مبكر، مقابل محطة + Anytime + حجز لحظي)</t>
  </si>
  <si>
    <t xml:space="preserve">Are there distinct customer segments? (e.g., online + Advance + early booking vs. station + Anytime + last-minute)</t>
  </si>
  <si>
    <t xml:space="preserve">Purchase Type, Ticket Type, Date of Purchase, Date of Journey</t>
  </si>
  <si>
    <t xml:space="preserve">Python (clustering)</t>
  </si>
  <si>
    <t xml:space="preserve">#62</t>
  </si>
  <si>
    <t xml:space="preserve">
X = pd.DataFrame({"online": (df["Purchase Type"] == "Online").astype(int), "lead_log": np.log1p(df.lead_days),
                  "price_log": np.log1p(df.Price), "first": (df["Ticket Class"] == "First Class").astype(int),
                  "railcard": (df.Railcard != "No Railcard").astype(int)})
X = pd.concat([X, pd.get_dummies(df["Ticket Type"]).astype(int)], axis=1)
df["segment"] = KMeans(n_clusters=4, n_init=10, random_state=42).fit_predict(StandardScaler().fit_transform(X))
prof = df.groupby("segment").agg(tickets=("Price", "size"), avg_price=("Price", "mean"), online=("Purchase Type", lambda s: (s == "Online").mean()),
                                 avg_lead_days=("lead_days", "mean"), first_class=("Ticket Class", lambda s: (s == "First Class").mean()),
                                 railcard=("Railcard", lambda s: (s != "No Railcard").mean()))
print(prof.round(2)); print(df.groupby("segment")["Ticket Type"].value_counts(normalize=True).unstack().round(2))</t>
  </si>
  <si>
    <t xml:space="preserve">tickets  avg_price  online  avg_lead_days  first_class  railcard
segment                                                                  
0          15797      15.34    0.59           3.00          0.0       1.0
1           7948      22.48    0.55           0.00          0.0       1.0
2           3058      48.86    0.58           1.63          1.0       1.0
3           4850      35.35    0.63           0.00          0.0       1.0
Ticket Type  Advance  Anytime  Off-Peak
segment                                
0               1.00      NaN       NaN
1                NaN      NaN      1.00
2               0.58     0.16      0.26
3                NaN     1.00       NaN</t>
  </si>
  <si>
    <t xml:space="preserve">X1</t>
  </si>
  <si>
    <t xml:space="preserve">(بديل) هل الخطوط اللي زادت فيها نسبة التأخير قلّ عليها الطلب شهر بعد شهر؟ (مستوى الخط، مش العميل)</t>
  </si>
  <si>
    <t xml:space="preserve">(Replacement) Did routes with rising delay rates see demand fall month over month? (route level, not customer level)</t>
  </si>
  <si>
    <t xml:space="preserve">route, Journey Status, Date of Journey</t>
  </si>
  <si>
    <t xml:space="preserve">Replaced (no Customer ID)</t>
  </si>
  <si>
    <t xml:space="preserve">#84</t>
  </si>
  <si>
    <t xml:space="preserve">big = df.route.value_counts(); big = big[big &gt;= 400].index
sub = df[df.route.isin(big)]
rt = sub.pivot_table(index="route", columns="month", values="disrupted", aggfunc="mean")
vol = sub.pivot_table(index="route", columns="month", values="Price", aggfunc="size")
chg = pd.DataFrame({"delay_rate_change_pp": (rt["2024-04"] - rt["2024-01"]) * 100, "tickets_change_%": (vol["2024-04"] / vol["2024-01"] - 1) * 100})
print(chg.round(1).sort_values("delay_rate_change_pp", ascending=False))
print("\ncorr(change in disruption rate, change in tickets):", round(chg.corr().iloc[0, 1], 2), "across", len(chg), "routes (Jan -&gt; Apr)")
</t>
  </si>
  <si>
    <t xml:space="preserve">delay_rate_change_pp  \
route                                                                  
London St Pancras -&gt; Birmingham New Street                       6.8   
Birmingham New Street -&gt; London St Pancras                       4.0   
London Euston -&gt; Birmingham New Street                           4.0   
London Euston -&gt; Manchester Piccadilly                           2.4   
London Paddington -&gt; Reading                                     2.1   
Liverpool Lime Street -&gt; Manchester Piccadilly                   0.7   
London Kings Cross -&gt; York                                      -1.1   
Liverpool Lime Street -&gt; London Euston                          -2.3   
Manchester Piccadilly -&gt; Liverpool Lime Street                  -3.4   
London Paddington -&gt; Oxford                                     -9.0   
                                                tickets_change_%  
route                                                             
London St Pancras -&gt; Birmingham New Street                  -0.3  
Birmingham New Street -&gt; London St Pancras                  12.6  
London Euston -&gt; Birmingham New Street                      -5.3  
London Euston -&gt; Manchester Piccadilly                     -11.9  
London Paddington -&gt; Reading                                -2.3  
Liverpool Lime Street -&gt; Manchester Piccadilly              -5.9  
London Kings Cross -&gt; York                                  -4.7  
Liverpool Lime Street -&gt; London Euston                      -5.5  
Manchester Piccadilly -&gt; Liverpool Lime Street              -7.7  
London Paddington -&gt; Oxford                                  7.8  
corr(change in disruption rate, change in tickets): -0.09 across 10 routes (Jan -&gt; Apr)</t>
  </si>
  <si>
    <t xml:space="preserve">E6</t>
  </si>
  <si>
    <t xml:space="preserve">إزاي نسبة إيراد First Class إلى Standard بتتغير حسب طول الرحلة؟</t>
  </si>
  <si>
    <t xml:space="preserve">How does the First Class to Standard revenue ratio vary with journey length?</t>
  </si>
  <si>
    <t xml:space="preserve">Ticket Class, Price, Departure Time, Arrival Time</t>
  </si>
  <si>
    <t xml:space="preserve">Added from 2nd list #28</t>
  </si>
  <si>
    <t xml:space="preserve">#75, #95</t>
  </si>
  <si>
    <t xml:space="preserve">df["dur_bucket"] = pd.cut(df.dur_min, [0, 45, 75, 90, 120, 300])
p = df.pivot_table(index="dur_bucket", columns="Ticket Class", values="Price", aggfunc="sum", observed=True)
p["first_to_standard"] = (p["First Class"] / p["Standard"]).round(3)
print(p)</t>
  </si>
  <si>
    <t xml:space="preserve">Ticket Class  First Class  Standard  first_to_standard
dur_bucket                                            
(0, 45]              9887     37474              0.264
(45, 75]            16515     76553              0.216
(75, 90]            54750     96907              0.565
(90, 120]           44430    235625              0.189
(120, 300]          23817    145963              0.163</t>
  </si>
  <si>
    <t xml:space="preserve">E7</t>
  </si>
  <si>
    <t xml:space="preserve">أنهي محطات «تغذية» (انطلاق أكتر من وصول) وأنهي «وجهات» (وصول أكتر)؟ (مثلاً Birmingham وصولها أكتر بـ 5,606 تذكرة)</t>
  </si>
  <si>
    <t xml:space="preserve">Which stations are feeder nodes (more departures than arrivals) and which are destination nodes? (e.g., Birmingham receives 5,606 more tickets than it sends)</t>
  </si>
  <si>
    <t xml:space="preserve">Added from 2nd list #29</t>
  </si>
  <si>
    <t xml:space="preserve">#76, #96</t>
  </si>
  <si>
    <t xml:space="preserve">dep = df["Departure Station"].value_counts(); arr = df["Arrival Destination"].value_counts()
tr = pd.DataFrame({"departures": dep, "arrivals": arr}).fillna(0).astype(int)
tr["net_(dep-arr)"] = tr.departures - tr.arrivals
tr["role"] = np.where(tr["net_(dep-arr)"] &gt; 0, "feeder", "destination")
print(tr.sort_values("net_(dep-arr)", ascending=False))</t>
  </si>
  <si>
    <t xml:space="preserve">departures  arrivals  net_(dep-arr)         role
London Paddington            4500       351           4149       feeder
London Kings Cross           4229        84           4145       feeder
London Euston                4954      1567           3387       feeder
London St Pancras            3891       749           3142       feeder
Manchester Piccadilly        5650      3968           1682       feeder
Wakefield                       0        15            -15  destination
Warrington                      0        15            -15  destination
Cardiff Central                 0        16            -16  destination
Didcot                          0        48            -48  destination
Coventry                        0        65            -65  destination
London Waterloo                 0        68            -68  destination
Wolverhampton                   0       115           -115  destination
Edinburgh Waverley             51       178           -127  destination
Bristol Temple Meads           16       144           -128  destination
Edinburgh                       0       154           -154  destination
Nottingham                      0       158           -158  destination
Stafford                        0       190           -190  destination
Crewe                           0       193           -193  destination
Doncaster                       0       211           -211  destination
Nuneaton                        0       219           -219  destination
Tamworth                        0       227           -227  destination
Swindon                         0       228           -228  destination
Peterborough                    0       242           -242  destination
Leeds                           0       255           -255  destination
Durham                          0       258           -258  destination
Sheffield                       0       272           -272  destination
Leicester                       0       337           -337  destination
Liverpool Lime Street        4561      5022           -461  destination
Oxford                        144       623           -479  destination
York                          927      4019          -3092  destination
Reading                       594      3920          -3326  destination
Birmingham New Street        2136      7742          -5606  destination</t>
  </si>
  <si>
    <t xml:space="preserve">E8</t>
  </si>
  <si>
    <t xml:space="preserve">إزاي نكتشف الرحلات الشاذة في المدة أو السعر بـ Isolation Forest؟</t>
  </si>
  <si>
    <t xml:space="preserve">How can we detect anomalous journey durations or price surges using Isolation Forest?</t>
  </si>
  <si>
    <t xml:space="preserve">Price, scheduled duration, route</t>
  </si>
  <si>
    <t xml:space="preserve">Added from 2nd list #35</t>
  </si>
  <si>
    <t xml:space="preserve">#77, #97</t>
  </si>
  <si>
    <t xml:space="preserve">from sklearn.ensemble import IsolationForest
med = df.groupby("route").Price.transform("median")
X = pd.DataFrame({"Price": df.Price, "dur_min": df.dur_min, "price_vs_route": df.Price / med})
df["anomaly"] = IsolationForest(contamination=0.01, random_state=42).fit_predict(X) == -1
print("Flagged:", df.anomaly.sum(), "of", len(df))
print(df[df.anomaly][["route", "Ticket Type", "Ticket Class", "Price", "dur_min"]].sort_values("Price", ascending=False).head(10))
print(df[df.anomaly].groupby("Ticket Class").size())</t>
  </si>
  <si>
    <t xml:space="preserve">Flagged: 316 of 31653
                                            route Ticket Type Ticket Class  \
711        Manchester Piccadilly -&gt; London Euston     Anytime  First Class   
2042       Manchester Piccadilly -&gt; London Euston     Anytime  First Class   
11849      Manchester Piccadilly -&gt; London Euston     Anytime  First Class   
13367            Reading -&gt; Liverpool Lime Street     Anytime  First Class   
31434            Reading -&gt; Liverpool Lime Street     Anytime  First Class   
22488  Liverpool Lime Street -&gt; London Paddington     Anytime  First Class   
20279  Liverpool Lime Street -&gt; London Paddington     Anytime  First Class   
24788      Liverpool Lime Street -&gt; London Euston     Anytime  First Class   
24794      Liverpool Lime Street -&gt; London Euston     Anytime  First Class   
17024      Liverpool Lime Street -&gt; London Euston     Anytime  First Class   
       Price  dur_min  
711      267    110.0  
2042     267    110.0  
11849    267    110.0  
13367    242    150.0  
31434    242    150.0  
22488    238    150.0  
20279    238    150.0  
24788    235    135.0  
24794    235    135.0  
17024    235    135.0  
Ticket Class
First Class    316
dtype: int64</t>
  </si>
  <si>
    <t xml:space="preserve">E9</t>
  </si>
  <si>
    <t xml:space="preserve">(معدّل) إيه العلاقة الوصفية بين متوسط السعر والطلب لـ First وStandard خارج الذروة؟ (ارتباط وصفي، مش مرونة سعرية)</t>
  </si>
  <si>
    <t xml:space="preserve">(Reworded) What is the descriptive relationship between average price and demand for First vs Standard outside peak hours? (correlation, not true price elasticity)</t>
  </si>
  <si>
    <t xml:space="preserve">Ticket Class, Price, Departure Time, route</t>
  </si>
  <si>
    <t xml:space="preserve">Added from 2nd list #20 (Reworded)</t>
  </si>
  <si>
    <t xml:space="preserve">#78, #98</t>
  </si>
  <si>
    <t xml:space="preserve">off = df[df.peak == "Off-Peak"]
r = off.groupby(["Ticket Class", "route"]).agg(avg_price=("Price", "mean"), tickets=("Price", "size")).reset_index()
for c, g in r.groupby("Ticket Class"):
    print(f"{c}: {len(g)} routes | corr(avg price, tickets) = {g.avg_price.corr(g.tickets):.2f}")
print("Descriptive only: price is not experimentally varied, so this is not true elasticity.")</t>
  </si>
  <si>
    <t xml:space="preserve">First Class: 42 routes | corr(avg price, tickets) = -0.16
Standard: 48 routes | corr(avg price, tickets) = -0.23
Descriptive only: price is not experimentally varied, so this is not true elasticity.</t>
  </si>
  <si>
    <t xml:space="preserve">E10</t>
  </si>
  <si>
    <t xml:space="preserve">هل في طفرات واضحة في شراء تذاكر Advance من يوم ليوم؟ (تواريخ الشراء 128 يوم بس)</t>
  </si>
  <si>
    <t xml:space="preserve">Are there detectable spikes in daily Advance ticket purchases? (purchase dates cover only 128 days)</t>
  </si>
  <si>
    <t xml:space="preserve">Ticket Type, Date of Purchase</t>
  </si>
  <si>
    <t xml:space="preserve">Added from 2nd list #31 (Limited: 128 days)</t>
  </si>
  <si>
    <t xml:space="preserve">#79, #99</t>
  </si>
  <si>
    <t xml:space="preserve">adv = df[df["Ticket Type"] == "Advance"].groupby("pdate").size()
z = (adv - adv.mean()) / adv.std()
print("Advance purchases per day: mean", round(adv.mean(), 1), "| std", round(adv.std(), 1), "| days:", len(adv))
print(adv[z &gt; 2].to_frame("purchases").assign(z=z[z &gt; 2].round(1)))
adv.plot(figsize=(10, 3), color="#4C78A8"); plt.title("Advance tickets purchased per day"); plt.show()</t>
  </si>
  <si>
    <t xml:space="preserve">Advance purchases per day: mean 138.3 | std 70.6 | days: 127
            purchases    z
pdate                     
2024-02-02        390  3.6
2024-02-03        367  3.2
2024-02-04        305  2.4
2024-02-05        294  2.2
2024-02-06        307  2.4
2024-02-07        319  2.6
2024-02-09        291  2.2
[chart - see notebook]</t>
  </si>
  <si>
    <t xml:space="preserve">E11</t>
  </si>
  <si>
    <t xml:space="preserve">إيه سرعة الحجز قبل عيد الفصح (29 مارس – 1 أبريل 2024) مقارنة بالأسابيع العادية؟</t>
  </si>
  <si>
    <t xml:space="preserve">What is the booking velocity before Easter (29 Mar - 1 Apr 2024) compared with standard weeks?</t>
  </si>
  <si>
    <t xml:space="preserve">Date of Purchase, Date of Journey</t>
  </si>
  <si>
    <t xml:space="preserve">Added from 2nd list #32 (Limited: Easter only)</t>
  </si>
  <si>
    <t xml:space="preserve">#80, #100</t>
  </si>
  <si>
    <t xml:space="preserve">easter = df.jd.between("2024-03-29", "2024-04-01")
print("Journey-date tickets per day: Easter window", round(df[easter].groupby("jd").size().mean()), "| other days", round(df[~easter].groupby("jd").size().mean()))
print("Avg lead days: Easter", round(df[easter].lead_days.mean(), 2), "| other", round(df[~easter].lead_days.mean(), 2))
print("Share booked 7+ days ahead (%): Easter", round((df[easter].lead_days &gt;= 7).mean() * 100, 1), "| other", round((df[~easter].lead_days &gt;= 7).mean() * 100, 1))</t>
  </si>
  <si>
    <t xml:space="preserve">Journey-date tickets per day: Easter window 218 | other days 263
Avg lead days: Easter 0.4 | other 1.69
Share booked 7+ days ahead (%): Easter 0.2 | other 8.0</t>
  </si>
  <si>
    <t xml:space="preserve">E12</t>
  </si>
  <si>
    <t xml:space="preserve">أنهي محطات أعلى Betweenness Centrality في شبكة تدفق التذاكر؟ (شبكة تذاكر، مش خريطة قطارات فعلية)</t>
  </si>
  <si>
    <t xml:space="preserve">Which stations have the highest betweenness centrality in the ticket-flow network? (a ticket network, not the physical rail map)</t>
  </si>
  <si>
    <t xml:space="preserve">Python (networkx)</t>
  </si>
  <si>
    <t xml:space="preserve">Added from 2nd list #36 (Assumption: ticket network)</t>
  </si>
  <si>
    <t xml:space="preserve">#81, #101</t>
  </si>
  <si>
    <t xml:space="preserve">import networkx as nx
w = df.groupby(["Departure Station", "Arrival Destination"]).size().reset_index(name="w")
G = nx.DiGraph()
for a, b, c in w.itertuples(index=False):
    G.add_edge(a, b, weight=1 / c, volume=c)       # heavier flow = shorter distance
bc = pd.Series(nx.betweenness_centrality(G, weight="weight")).sort_values(ascending=False)
print("Stations:", G.number_of_nodes(), "| directed links:", G.number_of_edges())
print(bc.head(8).round(3))
print("Note: network built from ticket flows, not the physical rail map.")</t>
  </si>
  <si>
    <t xml:space="preserve">Stations: 32 | directed links: 65
Birmingham New Street    0.146
Liverpool Lime Street    0.126
Manchester Piccadilly    0.106
London Paddington        0.087
London Euston            0.086
York                     0.048
London Kings Cross       0.040
Oxford                   0.022
dtype: float64
Note: network built from ticket flows, not the physical rail map.</t>
  </si>
  <si>
    <t xml:space="preserve">E13</t>
  </si>
  <si>
    <t xml:space="preserve">إزاي نرمّز (Target Encoding) المتغيرات عالية التنوع زي Route (65 قيمة) في نموذج F5 من غير تسريب بيانات؟</t>
  </si>
  <si>
    <t xml:space="preserve">How should high-cardinality variables like route (65 values) be target-encoded for the F5 model without data leakage?</t>
  </si>
  <si>
    <t xml:space="preserve">route, Journey Status</t>
  </si>
  <si>
    <t xml:space="preserve">Added from 2nd list #37 (Technique)</t>
  </si>
  <si>
    <t xml:space="preserve">#82, #102</t>
  </si>
  <si>
    <t xml:space="preserve">y = df.disrupted.astype(int)
Xtr, Xte, ytr, yte = train_test_split(df[["route"]], y, test_size=0.25, random_state=42, stratify=y)
for name, enc in [("TargetEncoder (cross-fitted, no leakage)", TargetEncoder(cv=5, random_state=42)), ("One-hot", OneHotEncoder(handle_unknown="ignore"))]:
    m = make_pipeline(enc, LogisticRegression(max_iter=1000)).fit(Xtr, ytr)
    print(f"{name}: AUC = {roc_auc_score(yte, m.predict_proba(Xte)[:, 1]):.3f}")
print("route cardinality:", df.route.nunique(), "-&gt; target encoding keeps 1 numeric column instead of", df.route.nunique())
</t>
  </si>
  <si>
    <t xml:space="preserve">TargetEncoder (cross-fitted, no leakage): AUC = 0.719
One-hot: AUC = 0.719
route cardinality: 65 -&gt; target encoding keeps 1 numeric column instead of 65</t>
  </si>
  <si>
    <t xml:space="preserve">Q1</t>
  </si>
  <si>
    <t xml:space="preserve">إجمالي الإيراد ومتوسط سعر التذكرة لكل شهر؟</t>
  </si>
  <si>
    <t xml:space="preserve">Total revenue and average ticket price per month?</t>
  </si>
  <si>
    <t xml:space="preserve">Price, Date of Journey</t>
  </si>
  <si>
    <t xml:space="preserve">#10</t>
  </si>
  <si>
    <t xml:space="preserve">q1 = df.groupby("month").agg(
    tickets   = ("Price", "size"),
    revenue   = ("Price", "sum"),
    avg_price = ("Price", "mean")
).round(2)
print(q1)</t>
  </si>
  <si>
    <t xml:space="preserve">tickets  revenue  avg_price
month                               
2024-01     8111   199618      24.61
2024-02     7644   159374      20.85
2024-03     8117   195147      24.04
2024-04     7781   187782      24.13</t>
  </si>
  <si>
    <t xml:space="preserve">Q2</t>
  </si>
  <si>
    <t xml:space="preserve">إيه الإيراد اليومي، وأنهي أيام الأسبوع الأعلى والأقل؟</t>
  </si>
  <si>
    <t xml:space="preserve">What is daily revenue, and which weekdays are highest and lowest?</t>
  </si>
  <si>
    <t xml:space="preserve">#12</t>
  </si>
  <si>
    <t xml:space="preserve">daily = df.groupby("jd")["Price"].sum()          # إيراد كل يوم
print(daily.describe().round(0))                 # ملخص سريع
by_weekday = daily.groupby(daily.index.day_name()).mean().round(0).sort_values(ascending=False)
print(by_weekday)</t>
  </si>
  <si>
    <t xml:space="preserve">count     121.0
mean     6132.0
std      1132.0
min      1562.0
25%      5546.0
50%      6227.0
75%      7003.0
max      9196.0
Name: Price, dtype: float64
jd
Wednesday    6694.0
Tuesday      6260.0
Friday       6202.0
Thursday     6191.0
Monday       5987.0
Sunday       5885.0
Saturday     5702.0
Name: Price, dtype: float64</t>
  </si>
  <si>
    <t xml:space="preserve">Q3</t>
  </si>
  <si>
    <t xml:space="preserve">أنهي 10 خطوط بتجيب أعلى إيراد؟</t>
  </si>
  <si>
    <t xml:space="preserve">Which 10 routes bring the highest revenue?</t>
  </si>
  <si>
    <t xml:space="preserve">#13</t>
  </si>
  <si>
    <t xml:space="preserve">top10 = df.groupby("route")["Price"].sum().sort_values(ascending=False).head(10)
print(top10)</t>
  </si>
  <si>
    <t xml:space="preserve">route
London Kings Cross -&gt; York                        183193
Liverpool Lime Street -&gt; London Euston            113299
London Paddington -&gt; Reading                       65368
London Euston -&gt; Manchester Piccadilly             61004
London St Pancras -&gt; Birmingham New Street         52869
London Euston -&gt; Birmingham New Street             50349
Manchester Piccadilly -&gt; London Euston             33860
Birmingham New Street -&gt; London St Pancras         19011
Manchester Piccadilly -&gt; Liverpool Lime Street     17310
Manchester Piccadilly -&gt; London Paddington         16432
Name: Price, dtype: int64</t>
  </si>
  <si>
    <t xml:space="preserve">Q4</t>
  </si>
  <si>
    <t xml:space="preserve">إيه نسبة مساهمة كل محطة انطلاق في إجمالي الإيراد؟</t>
  </si>
  <si>
    <t xml:space="preserve">What share of total revenue does each departure station contribute?</t>
  </si>
  <si>
    <t xml:space="preserve">Departure Station, Price</t>
  </si>
  <si>
    <t xml:space="preserve">#14</t>
  </si>
  <si>
    <t xml:space="preserve">s = df.groupby("Departure Station")["Price"].sum()
print((s / s.sum() * 100).sort_values(ascending=False).round(1))</t>
  </si>
  <si>
    <t xml:space="preserve">Departure Station
London Kings Cross       26.9
Liverpool Lime Street    18.2
London Euston            15.1
London Paddington        11.3
Manchester Piccadilly    10.2
London St Pancras         8.5
Birmingham New Street     5.1
York                      2.6
Reading                   1.4
Oxford                    0.4
Edinburgh Waverley        0.3
Bristol Temple Meads      0.0
Name: Price, dtype: float64</t>
  </si>
  <si>
    <t xml:space="preserve">Q5</t>
  </si>
  <si>
    <t xml:space="preserve">إيه توزيع التذاكر والإيراد على Advance / Off-Peak / Anytime؟</t>
  </si>
  <si>
    <t xml:space="preserve">How are tickets and revenue split across Advance, Off-Peak, and Anytime?</t>
  </si>
  <si>
    <t xml:space="preserve">Ticket Type, Price</t>
  </si>
  <si>
    <t xml:space="preserve">#15</t>
  </si>
  <si>
    <t xml:space="preserve">q5 = df.groupby("Ticket Type")["Price"].agg(tickets="size", revenue="sum")
q5["ticket_share_%"]  = (q5["tickets"] / q5["tickets"].sum() * 100).round(1)
q5["revenue_share_%"] = (q5["revenue"] / q5["revenue"].sum() * 100).round(1)
print(q5)</t>
  </si>
  <si>
    <t xml:space="preserve">tickets  revenue  ticket_share_%  revenue_share_%
Ticket Type                                                   
Advance        17561   309274            55.5             41.7
Anytime         5340   209309            16.9             28.2
Off-Peak        8752   223338            27.6             30.1</t>
  </si>
  <si>
    <t xml:space="preserve">Q6</t>
  </si>
  <si>
    <t xml:space="preserve">إيه الفرق في عدد التذاكر ومتوسط السعر بين Standard وFirst Class؟</t>
  </si>
  <si>
    <t xml:space="preserve">What is the difference in ticket count and average price between Standard and First Class?</t>
  </si>
  <si>
    <t xml:space="preserve">Ticket Class, Price</t>
  </si>
  <si>
    <t xml:space="preserve">#16</t>
  </si>
  <si>
    <t xml:space="preserve">q6 = df.groupby("Ticket Class")["Price"].agg(tickets="size", revenue="sum", avg_price="mean").round(1)
print(q6)</t>
  </si>
  <si>
    <t xml:space="preserve">tickets  revenue  avg_price
Ticket Class                             
First Class      3058   149399       48.9
Standard        28595   592522       20.7</t>
  </si>
  <si>
    <t xml:space="preserve">Q7</t>
  </si>
  <si>
    <t xml:space="preserve">أنهي Railcard الأكثر استخداماً، وإيه متوسط سعره مقارنة بمن لا يملك كارت؟</t>
  </si>
  <si>
    <t xml:space="preserve">Which railcard is used most, and how does its average price compare with non-holders?</t>
  </si>
  <si>
    <t xml:space="preserve">Railcard, Price</t>
  </si>
  <si>
    <t xml:space="preserve">#17</t>
  </si>
  <si>
    <t xml:space="preserve">q7 = df.groupby("Railcard")["Price"].agg(tickets="size", avg_price="mean").round(1)
print(q7.sort_values("tickets", ascending=False))</t>
  </si>
  <si>
    <t xml:space="preserve">tickets  avg_price
Railcard                    
Adult        4846       17.8
Disabled     3089       16.9
Senior       2800       10.6</t>
  </si>
  <si>
    <t xml:space="preserve">Q8</t>
  </si>
  <si>
    <t xml:space="preserve">أنهي نوع تذكرة هو الغالب على كل خط من الخطوط الأعلى طلباً؟</t>
  </si>
  <si>
    <t xml:space="preserve">Which ticket type dominates each of the highest-demand routes?</t>
  </si>
  <si>
    <t xml:space="preserve">Ticket Type, Departure Station, Arrival Destination</t>
  </si>
  <si>
    <t xml:space="preserve">#18</t>
  </si>
  <si>
    <t xml:space="preserve">top = df["route"].value_counts().head(10).index
x = df[df["route"].isin(top)].groupby(["route", "Ticket Type"]).size().unstack(fill_value=0)
x["dominant"] = x.idxmax(axis=1)
print(x.loc[top])</t>
  </si>
  <si>
    <t xml:space="preserve">Ticket Type                                     Advance  Anytime  Off-Peak  \
route                                                                        
Manchester Piccadilly -&gt; Liverpool Lime Street     2635      749      1244   
London Euston -&gt; Birmingham New Street             2308      622      1279   
London Kings Cross -&gt; York                         2158      710      1054   
London Paddington -&gt; Reading                       2126      576      1171   
London St Pancras -&gt; Birmingham New Street         1937      524      1010   
Liverpool Lime Street -&gt; Manchester Piccadilly     1815      244       943   
Liverpool Lime Street -&gt; London Euston              566      334       197   
London Euston -&gt; Manchester Piccadilly              384      148       180   
Birmingham New Street -&gt; London St Pancras          395      156       151   
London Paddington -&gt; Oxford                         251      180        54   
Ticket Type                                    dominant  
route                                                    
Manchester Piccadilly -&gt; Liverpool Lime Street  Advance  
London Euston -&gt; Birmingham New Street          Advance  
London Kings Cross -&gt; York                      Advance  
London Paddington -&gt; Reading                    Advance  
London St Pancras -&gt; Birmingham New Street      Advance  
Liverpool Lime Street -&gt; Manchester Piccadilly  Advance  
Liverpool Lime Street -&gt; London Euston          Advance  
London Euston -&gt; Manchester Piccadilly          Advance  
Birmingham New Street -&gt; London St Pancras      Advance  
London Paddington -&gt; Oxford                     Advance</t>
  </si>
  <si>
    <t xml:space="preserve">Q9</t>
  </si>
  <si>
    <t xml:space="preserve">أنهي أكتر 10 خطوط من حيث عدد الرحلات؟</t>
  </si>
  <si>
    <t xml:space="preserve">Which 10 routes have the most journeys?</t>
  </si>
  <si>
    <t xml:space="preserve">#19</t>
  </si>
  <si>
    <t xml:space="preserve">print(df["route"].value_counts().head(10))</t>
  </si>
  <si>
    <t xml:space="preserve">route
Manchester Piccadilly -&gt; Liverpool Lime Street    4628
London Euston -&gt; Birmingham New Street            4209
London Kings Cross -&gt; York                        3922
London Paddington -&gt; Reading                      3873
London St Pancras -&gt; Birmingham New Street        3471
Liverpool Lime Street -&gt; Manchester Piccadilly    3002
Liverpool Lime Street -&gt; London Euston            1097
London Euston -&gt; Manchester Piccadilly             712
Birmingham New Street -&gt; London St Pancras         702
London Paddington -&gt; Oxford                        485
Name: count, dtype: int64</t>
  </si>
  <si>
    <t xml:space="preserve">Q10</t>
  </si>
  <si>
    <t xml:space="preserve">إيه أوقات الذروة (الساعة اللي فيها أكبر عدد رحلات)؟</t>
  </si>
  <si>
    <t xml:space="preserve">What are the peak hours (hours with the most journeys)?</t>
  </si>
  <si>
    <t xml:space="preserve">Departure Time</t>
  </si>
  <si>
    <t xml:space="preserve">#20</t>
  </si>
  <si>
    <t xml:space="preserve">df["dep_hour"] = pd.to_datetime(df["Departure Time"], format="%H:%M:%S").dt.hour
h = df["dep_hour"].value_counts().sort_index()
print(h.sort_values(ascending=False).head(6))
h.plot(kind="bar", color="#4C78A8", figsize=(9, 3.5))
plt.title("Tickets by departure hour")
plt.xlabel("hour")
plt.show()</t>
  </si>
  <si>
    <t xml:space="preserve">dep_hour
18    3113
6     3112
17    2888
7     2795
16    2301
8     2179
Name: count, dtype: int64
[chart - see notebook]</t>
  </si>
  <si>
    <t xml:space="preserve">Q11</t>
  </si>
  <si>
    <t xml:space="preserve">إيه عدد الرحلات في كل يوم من أيام الأسبوع، وهل في فرق بين أيام الأسبوع والويك إند؟</t>
  </si>
  <si>
    <t xml:space="preserve">How many journeys run each weekday, and is there a weekday vs weekend difference?</t>
  </si>
  <si>
    <t xml:space="preserve">#21</t>
  </si>
  <si>
    <t xml:space="preserve">order = ["Monday", "Tuesday", "Wednesday", "Thursday", "Friday", "Saturday", "Sunday"]
print(df.groupby("weekday").size().reindex(order))
df["is_weekend"] = df["jd"].dt.dayofweek &gt;= 5          # 5 = السبت، 6 = الأحد
d = df.groupby(["jd", "is_weekend"]).size().reset_index(name="n")
print(d.groupby("is_weekend")["n"].mean().round(0))</t>
  </si>
  <si>
    <t xml:space="preserve">weekday
Monday       4436
Tuesday      4607
Wednesday    4692
Thursday     4580
Friday       4351
Saturday     4407
Sunday       4580
dtype: int64
is_weekend
False    261.0
True     264.0
Name: n, dtype: float64</t>
  </si>
  <si>
    <t xml:space="preserve">Q12</t>
  </si>
  <si>
    <t xml:space="preserve">إيه أكتر محطة انطلاق ووجهة وصول من حيث الحركة؟</t>
  </si>
  <si>
    <t xml:space="preserve">Which departure station and arrival destination have the most traffic?</t>
  </si>
  <si>
    <t xml:space="preserve">#22</t>
  </si>
  <si>
    <t xml:space="preserve">print(df["Departure Station"].value_counts().head(5))
print(df["Arrival Destination"].value_counts().head(5))</t>
  </si>
  <si>
    <t xml:space="preserve">Departure Station
Manchester Piccadilly    5650
London Euston            4954
Liverpool Lime Street    4561
London Paddington        4500
London Kings Cross       4229
Name: count, dtype: int64
Arrival Destination
Birmingham New Street    7742
Liverpool Lime Street    5022
York                     4019
Manchester Piccadilly    3968
Reading                  3920
Name: count, dtype: int64</t>
  </si>
  <si>
    <t xml:space="preserve">Q13</t>
  </si>
  <si>
    <t xml:space="preserve">إيه نسبة الرحلات On Time / Delayed / Cancelled؟</t>
  </si>
  <si>
    <t xml:space="preserve">What share of journeys are On Time, Delayed, and Cancelled?</t>
  </si>
  <si>
    <t xml:space="preserve">Journey Status</t>
  </si>
  <si>
    <t xml:space="preserve">#26</t>
  </si>
  <si>
    <t xml:space="preserve">print((df["Journey Status"].value_counts(normalize=True) * 100).round(1))</t>
  </si>
  <si>
    <t xml:space="preserve">Journey Status
On Time      86.8
Delayed       7.2
Cancelled     5.9
Name: proportion, dtype: float64</t>
  </si>
  <si>
    <t xml:space="preserve">Q14</t>
  </si>
  <si>
    <t xml:space="preserve">أنهي محطات وخطوط فيها أعلى نسبة تأخير وإلغاء؟</t>
  </si>
  <si>
    <t xml:space="preserve">Which stations and routes have the highest delay and cancellation rates?</t>
  </si>
  <si>
    <t xml:space="preserve">Journey Status, Departure Station, Arrival Destination</t>
  </si>
  <si>
    <t xml:space="preserve">#27</t>
  </si>
  <si>
    <t xml:space="preserve">st = rates("Departure Station")
print(st[st["tickets"] &gt;= 100].sort_values("delayed_pct", ascending=False))
rt = rates("route")
rt["disrupted_pct"] = rt["delayed_pct"] + rt["cancelled_pct"]
print(rt[rt["tickets"] &gt;= 200].sort_values("disrupted_pct", ascending=False).head(10))</t>
  </si>
  <si>
    <t xml:space="preserve">tickets  delayed_pct  cancelled_pct
Departure Station                                         
Liverpool Lime Street     4561         19.7            5.1
Manchester Piccadilly     5650         11.9            5.6
Oxford                     144         10.4            4.2
Birmingham New Street     2136          6.6            6.0
York                       927          6.3            6.1
London Euston             4954          5.2            5.2
London Kings Cross        4229          3.1            4.9
London Paddington         4500          1.5            7.9
London St Pancras         3891          0.0            7.5
Reading                    594          0.0            4.9
                                                tickets  delayed_pct  \
route                                                                  
Liverpool Lime Street -&gt; London Euston             1097         71.1   
Manchester Piccadilly -&gt; London Euston              345         69.6   
Birmingham New Street -&gt; Manchester Piccadilly      224         42.9   
York -&gt; Doncaster                                   211         12.8   
Manchester Piccadilly -&gt; Liverpool Lime Street     4628          7.6   
London Paddington -&gt; Oxford                         485          0.0   
York -&gt; Durham                                      258          6.2   
London Euston -&gt; Birmingham New Street             4209          5.7   
London Paddington -&gt; Reading                       3873          1.7   
York -&gt; Peterborough                                242          0.0   
                                                cancelled_pct  disrupted_pct  
route                                                                         
Liverpool Lime Street -&gt; London Euston                    9.0           80.1  
Manchester Piccadilly -&gt; London Euston                    0.9           70.5  
Birmingham New Street -&gt; Manchester Piccadilly            8.0           50.9  
York -&gt; Doncaster                                         5.2           18.0  
Manchester Piccadilly -&gt; Liverpool Lime Street            6.3           13.9  
London Paddington -&gt; Oxford                              13.0           13.0  
York -&gt; Durham                                            6.6           12.8  
London Euston -&gt; Birmingham New Street                    5.0           10.7  
London Paddington -&gt; Reading                              7.4            9.1  
York -&gt; Peterborough                                      9.1            9.1</t>
  </si>
  <si>
    <t xml:space="preserve">Q15</t>
  </si>
  <si>
    <t xml:space="preserve">إيه أكتر أسباب التأخير شيوعاً (بعد توحيد المسميات المتكررة)؟</t>
  </si>
  <si>
    <t xml:space="preserve">What are the most common delay causes (after merging duplicate labels)?</t>
  </si>
  <si>
    <t xml:space="preserve">Reason for Delay</t>
  </si>
  <si>
    <t xml:space="preserve">#28</t>
  </si>
  <si>
    <t xml:space="preserve">print(df.loc[df["disrupted"], "Reason for Delay"].value_counts())</t>
  </si>
  <si>
    <t xml:space="preserve">Reason for Delay
Weather               995
Signal Failure        970
Technical Issue       707
Staffing              410
Staff Shortage        399
Weather Conditions    377
Traffic               314
Name: count, dtype: int64</t>
  </si>
  <si>
    <t xml:space="preserve">Q16</t>
  </si>
  <si>
    <t xml:space="preserve">إيه متوسط مدة التأخير بالدقائق، وهل بتزيد في ساعات معينة؟</t>
  </si>
  <si>
    <t xml:space="preserve">What is the average delay in minutes, and does it rise at certain hours?</t>
  </si>
  <si>
    <t xml:space="preserve">Arrival Time, Actual Arrival Time, Departure Time</t>
  </si>
  <si>
    <t xml:space="preserve">#29</t>
  </si>
  <si>
    <t xml:space="preserve">d = df[df["delayed"]]
print(d["delay_min"].describe().round(1))
h = d.groupby("dep_hour")["delay_min"].agg(n="size", avg="mean").round(1)
print(h[h["n"] &gt;= 20])</t>
  </si>
  <si>
    <t xml:space="preserve">count    2292.0
mean       42.2
std        34.5
min         0.0
25%        19.0
50%        37.0
75%        53.0
max       180.0
Name: delay_min, dtype: float64
            n   avg
dep_hour           
3         125  24.0
5          37  29.0
6          74  39.9
8         728  41.6
9         221  69.1
11        300  53.4
15        143  21.4
16        206  57.0
17        381  30.2</t>
  </si>
  <si>
    <t xml:space="preserve">Q17</t>
  </si>
  <si>
    <t xml:space="preserve">إيه نسبة طلبات الاسترداد من إجمالي الرحلات؟</t>
  </si>
  <si>
    <t xml:space="preserve">What share of all journeys have a refund request?</t>
  </si>
  <si>
    <t xml:space="preserve">Refund Request</t>
  </si>
  <si>
    <t xml:space="preserve">#31</t>
  </si>
  <si>
    <t xml:space="preserve">print(f"Refund requests: {df['refund'].sum()} of {len(df)} journeys = {df['refund'].mean():.2%}")</t>
  </si>
  <si>
    <t xml:space="preserve">Refund requests: 1118 of 31653 journeys = 3.53%</t>
  </si>
  <si>
    <t xml:space="preserve">Q18</t>
  </si>
  <si>
    <t xml:space="preserve">إيه نسبة الاسترداد في الرحلات المتأخرة والملغية مقارنة بالرحلات في الميعاد؟</t>
  </si>
  <si>
    <t xml:space="preserve">What is the refund rate for delayed and cancelled journeys vs on-time ones?</t>
  </si>
  <si>
    <t xml:space="preserve">Refund Request, Journey Status</t>
  </si>
  <si>
    <t xml:space="preserve">#32</t>
  </si>
  <si>
    <t xml:space="preserve">print((df.groupby("Journey Status")["refund"].mean() * 100).round(1))</t>
  </si>
  <si>
    <t xml:space="preserve">Journey Status
Cancelled    30.4
Delayed      23.8
On Time       0.0
Name: refund, dtype: float64</t>
  </si>
  <si>
    <t xml:space="preserve">Q19</t>
  </si>
  <si>
    <t xml:space="preserve">أنهي أسباب تأخير مرتبطة بأعلى عدد طلبات استرداد؟</t>
  </si>
  <si>
    <t xml:space="preserve">Which delay causes are linked to the most refund requests?</t>
  </si>
  <si>
    <t xml:space="preserve">Reason for Delay, Refund Request</t>
  </si>
  <si>
    <t xml:space="preserve">#33</t>
  </si>
  <si>
    <t xml:space="preserve">print(df[df["refund"]].groupby("Reason for Delay").size().sort_values(ascending=False))
print((df[df["disrupted"]].groupby("Reason for Delay")["refund"].mean() * 100).round(1).sort_values(ascending=False))</t>
  </si>
  <si>
    <t xml:space="preserve">Reason for Delay
Technical Issue       388
Signal Failure        215
Staffing              182
Traffic               121
Staff Shortage         79
Weather                69
Weather Conditions     64
dtype: int64
Reason for Delay
Technical Issue       54.9
Staffing              44.4
Traffic               38.5
Signal Failure        22.2
Staff Shortage        19.8
Weather Conditions    17.0
Weather                6.9
Name: refund, dtype: float64</t>
  </si>
  <si>
    <t xml:space="preserve">Q20</t>
  </si>
  <si>
    <t xml:space="preserve">إيه قيمة الإيراد المعرّض للخسارة (أسعار الرحلات الملغية + اللي عليها طلب استرداد)؟</t>
  </si>
  <si>
    <t xml:space="preserve">What is the revenue at risk (prices of cancelled journeys + those with a refund request)?</t>
  </si>
  <si>
    <t xml:space="preserve">Price, Journey Status, Refund Request</t>
  </si>
  <si>
    <t xml:space="preserve">#34</t>
  </si>
  <si>
    <t xml:space="preserve">risk = df[df["cancelled"] | df["refund"]]
print("Revenue at risk:", risk["Price"].sum(), f"= {risk['Price'].sum() / df['Price'].sum():.1%} of total revenue")
print(risk.groupby("Journey Status")["Price"].agg(["size", "sum"]))</t>
  </si>
  <si>
    <t xml:space="preserve">Revenue at risk: 71621 = 9.7% of total revenue
                size    sum
Journey Status             
Cancelled       1880  45456
Delayed          546  26165</t>
  </si>
  <si>
    <t xml:space="preserve">Q23</t>
  </si>
  <si>
    <t xml:space="preserve">العملاء بيحجزوا قبل الرحلة بكام يوم في المتوسط، وإزاي ده بيأثر على السعر؟</t>
  </si>
  <si>
    <t xml:space="preserve">How many days before the journey do customers book on average, and how does that affect price?</t>
  </si>
  <si>
    <t xml:space="preserve">#41</t>
  </si>
  <si>
    <t xml:space="preserve">df["lead_days"] = (df["jd"] - pd.to_datetime(df["Date of Purchase"])).dt.days   # عدد الأيام بين الشراء والرحلة
print(df["lead_days"].describe().round(1))
print(df.groupby(pd.cut(df["lead_days"], [-1, 0, 1, 3, 7, 14, 30]), observed=True)["Price"].agg(tickets="size", avg_price="mean").round(1))
print("corr(lead_days, price):", round(df["lead_days"].corr(df["Price"]), 3))</t>
  </si>
  <si>
    <t xml:space="preserve">count    31653.0
mean         1.7
std          3.9
min          0.0
25%          0.0
50%          1.0
75%          1.0
max         28.0
Name: lead_days, dtype: float64
           tickets  avg_price
lead_days                    
(-1, 0]      14092       30.7
(0, 1]       13744       17.6
(1, 3]         651       18.0
(3, 7]         940       17.0
(7, 14]       1256       17.2
(14, 30]       970       18.7
corr(lead_days, price): -0.081</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</si>
</sst>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color rgb="FFFFFFFF"/>
      <name val="Arial"/>
      <family val="0"/>
      <charset val="1"/>
    </font>
    <font>
      <sz val="10"/>
      <name val="Arial"/>
      <family val="0"/>
      <charset val="1"/>
    </font>
    <font>
      <b val="true"/>
      <sz val="10"/>
      <name val="Arial"/>
      <family val="0"/>
      <charset val="1"/>
    </font>
    <font>
      <sz val="10"/>
      <color rgb="FF000000"/>
      <name val="Arial"/>
      <family val="0"/>
      <charset val="1"/>
    </font>
    <font>
      <sz val="9"/>
      <name val="Courier New"/>
      <family val="0"/>
      <charset val="1"/>
    </font>
  </fonts>
  <fills count="7">
    <fill>
      <patternFill patternType="none"/>
    </fill>
    <fill>
      <patternFill patternType="gray125"/>
    </fill>
    <fill>
      <patternFill patternType="solid">
        <fgColor rgb="FF1F3A5F"/>
        <bgColor rgb="FF333333"/>
      </patternFill>
    </fill>
    <fill>
      <patternFill patternType="solid">
        <fgColor rgb="FFFDE9D9"/>
        <bgColor rgb="FFFFF6D6"/>
      </patternFill>
    </fill>
    <fill>
      <patternFill patternType="solid">
        <fgColor rgb="FFFFF6D6"/>
        <bgColor rgb="FFFDE9D9"/>
      </patternFill>
    </fill>
    <fill>
      <patternFill patternType="solid">
        <fgColor rgb="FFE4F0DC"/>
        <bgColor rgb="FFE3ECF7"/>
      </patternFill>
    </fill>
    <fill>
      <patternFill patternType="solid">
        <fgColor rgb="FFE3ECF7"/>
        <bgColor rgb="FFE4F0DC"/>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right" vertical="top" textRotation="0" wrapText="true" indent="0" shrinkToFit="false" readingOrder="2"/>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A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3ECF7"/>
          <bgColor rgb="FF000000"/>
        </patternFill>
      </fill>
    </dxf>
    <dxf>
      <fill>
        <patternFill patternType="solid">
          <fgColor rgb="FFE4F0DC"/>
          <bgColor rgb="FF000000"/>
        </patternFill>
      </fill>
    </dxf>
    <dxf>
      <fill>
        <patternFill patternType="solid">
          <fgColor rgb="FFFDE9D9"/>
          <bgColor rgb="FF000000"/>
        </patternFill>
      </fill>
    </dxf>
    <dxf>
      <fill>
        <patternFill patternType="solid">
          <fgColor rgb="FFFFF6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D6"/>
      <rgbColor rgb="FFE3ECF7"/>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E4F0DC"/>
      <rgbColor rgb="FFFDE9D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4" min="2" style="1" width="12"/>
  </cols>
  <sheetData>
    <row r="1" customFormat="false" ht="15" hidden="false" customHeight="true" outlineLevel="0" collapsed="false">
      <c r="A1" s="2" t="s">
        <v>0</v>
      </c>
    </row>
    <row r="3" customFormat="false" ht="15" hidden="false" customHeight="true" outlineLevel="0" collapsed="false">
      <c r="A3" s="3" t="s">
        <v>1</v>
      </c>
      <c r="B3" s="3" t="s">
        <v>2</v>
      </c>
      <c r="C3" s="3" t="s">
        <v>3</v>
      </c>
      <c r="D3" s="3" t="s">
        <v>4</v>
      </c>
    </row>
    <row r="4" customFormat="false" ht="15" hidden="false" customHeight="true" outlineLevel="0" collapsed="false">
      <c r="A4" s="4" t="s">
        <v>5</v>
      </c>
      <c r="B4" s="4" t="n">
        <f aca="false">COUNTIF(Questions!$B:$B,A4)</f>
        <v>11</v>
      </c>
      <c r="C4" s="4" t="n">
        <f aca="false">COUNTIFS(Questions!$B:$B,A4,Questions!$J:$J,"Done")</f>
        <v>11</v>
      </c>
      <c r="D4" s="5" t="n">
        <f aca="false">IF(B4=0,0,C4/B4)</f>
        <v>1</v>
      </c>
    </row>
    <row r="5" customFormat="false" ht="15" hidden="false" customHeight="true" outlineLevel="0" collapsed="false">
      <c r="A5" s="4" t="s">
        <v>6</v>
      </c>
      <c r="B5" s="4" t="n">
        <f aca="false">COUNTIF(Questions!$B:$B,A5)</f>
        <v>21</v>
      </c>
      <c r="C5" s="4" t="n">
        <f aca="false">COUNTIFS(Questions!$B:$B,A5,Questions!$J:$J,"Done")</f>
        <v>21</v>
      </c>
      <c r="D5" s="5" t="n">
        <f aca="false">IF(B5=0,0,C5/B5)</f>
        <v>1</v>
      </c>
    </row>
    <row r="6" customFormat="false" ht="15" hidden="false" customHeight="true" outlineLevel="0" collapsed="false">
      <c r="A6" s="4" t="s">
        <v>7</v>
      </c>
      <c r="B6" s="4" t="n">
        <f aca="false">COUNTIF(Questions!$B:$B,A6)</f>
        <v>14</v>
      </c>
      <c r="C6" s="4" t="n">
        <f aca="false">COUNTIFS(Questions!$B:$B,A6,Questions!$J:$J,"Done")</f>
        <v>14</v>
      </c>
      <c r="D6" s="5" t="n">
        <f aca="false">IF(B6=0,0,C6/B6)</f>
        <v>1</v>
      </c>
    </row>
    <row r="7" customFormat="false" ht="15" hidden="false" customHeight="true" outlineLevel="0" collapsed="false">
      <c r="A7" s="4" t="s">
        <v>8</v>
      </c>
      <c r="B7" s="4" t="n">
        <f aca="false">COUNTIF(Questions!$B:$B,A7)</f>
        <v>21</v>
      </c>
      <c r="C7" s="4" t="n">
        <f aca="false">COUNTIFS(Questions!$B:$B,A7,Questions!$J:$J,"Done")</f>
        <v>21</v>
      </c>
      <c r="D7" s="5" t="n">
        <f aca="false">IF(B7=0,0,C7/B7)</f>
        <v>1</v>
      </c>
    </row>
    <row r="8" customFormat="false" ht="15" hidden="false" customHeight="true" outlineLevel="0" collapsed="false">
      <c r="A8" s="6" t="s">
        <v>9</v>
      </c>
      <c r="B8" s="6" t="n">
        <f aca="false">SUM(B4:B7)</f>
        <v>67</v>
      </c>
      <c r="C8" s="6" t="n">
        <f aca="false">SUM(C4:C7)</f>
        <v>67</v>
      </c>
      <c r="D8" s="7" t="n">
        <f aca="false">IF(B8=0,0,C8/B8)</f>
        <v>1</v>
      </c>
    </row>
    <row r="9" customFormat="false" ht="15" hidden="false" customHeight="true" outlineLevel="0" collapsed="false">
      <c r="A9" s="4"/>
      <c r="B9" s="4"/>
      <c r="C9" s="4"/>
      <c r="D9" s="4"/>
    </row>
    <row r="10" customFormat="false" ht="15" hidden="false" customHeight="true" outlineLevel="0" collapsed="false">
      <c r="A10" s="3" t="s">
        <v>10</v>
      </c>
      <c r="B10" s="3" t="s">
        <v>2</v>
      </c>
      <c r="C10" s="4"/>
      <c r="D10" s="4"/>
    </row>
    <row r="11" customFormat="false" ht="15" hidden="false" customHeight="true" outlineLevel="0" collapsed="false">
      <c r="A11" s="4" t="s">
        <v>11</v>
      </c>
      <c r="B11" s="4" t="n">
        <f aca="false">COUNTIF(Questions!$C:$C,A11)</f>
        <v>9</v>
      </c>
      <c r="C11" s="4"/>
      <c r="D11" s="4"/>
    </row>
    <row r="12" customFormat="false" ht="15" hidden="false" customHeight="true" outlineLevel="0" collapsed="false">
      <c r="A12" s="4" t="s">
        <v>12</v>
      </c>
      <c r="B12" s="4" t="n">
        <f aca="false">COUNTIF(Questions!$C:$C,A12)</f>
        <v>9</v>
      </c>
      <c r="C12" s="4"/>
      <c r="D12" s="4"/>
    </row>
    <row r="13" customFormat="false" ht="15" hidden="false" customHeight="true" outlineLevel="0" collapsed="false">
      <c r="A13" s="4" t="s">
        <v>13</v>
      </c>
      <c r="B13" s="4" t="n">
        <f aca="false">COUNTIF(Questions!$C:$C,A13)</f>
        <v>12</v>
      </c>
      <c r="C13" s="4"/>
      <c r="D13" s="4"/>
    </row>
    <row r="14" customFormat="false" ht="15" hidden="false" customHeight="true" outlineLevel="0" collapsed="false">
      <c r="A14" s="4" t="s">
        <v>14</v>
      </c>
      <c r="B14" s="4" t="n">
        <f aca="false">COUNTIF(Questions!$C:$C,A14)</f>
        <v>9</v>
      </c>
      <c r="C14" s="4"/>
      <c r="D14" s="4"/>
    </row>
    <row r="15" customFormat="false" ht="15" hidden="false" customHeight="true" outlineLevel="0" collapsed="false">
      <c r="A15" s="4" t="s">
        <v>15</v>
      </c>
      <c r="B15" s="4" t="n">
        <f aca="false">COUNTIF(Questions!$C:$C,A15)</f>
        <v>9</v>
      </c>
      <c r="C15" s="4"/>
      <c r="D15" s="4"/>
    </row>
    <row r="16" customFormat="false" ht="15" hidden="false" customHeight="true" outlineLevel="0" collapsed="false">
      <c r="A16" s="4" t="s">
        <v>16</v>
      </c>
      <c r="B16" s="4" t="n">
        <f aca="false">COUNTIF(Questions!$C:$C,A16)</f>
        <v>7</v>
      </c>
      <c r="C16" s="4"/>
      <c r="D16" s="4"/>
    </row>
    <row r="17" customFormat="false" ht="15" hidden="false" customHeight="true" outlineLevel="0" collapsed="false">
      <c r="A17" s="4" t="s">
        <v>17</v>
      </c>
      <c r="B17" s="4" t="n">
        <f aca="false">COUNTIF(Questions!$C:$C,A17)</f>
        <v>6</v>
      </c>
      <c r="C17" s="4"/>
      <c r="D17" s="4"/>
    </row>
    <row r="18" customFormat="false" ht="15" hidden="false" customHeight="true" outlineLevel="0" collapsed="false">
      <c r="A18" s="4" t="s">
        <v>18</v>
      </c>
      <c r="B18" s="4" t="n">
        <f aca="false">COUNTIF(Questions!$C:$C,A18)</f>
        <v>6</v>
      </c>
      <c r="C18" s="4"/>
      <c r="D18" s="4"/>
    </row>
    <row r="19" customFormat="false" ht="15" hidden="false" customHeight="true" outlineLevel="0" collapsed="false">
      <c r="A19" s="6" t="s">
        <v>9</v>
      </c>
      <c r="B19" s="6" t="n">
        <f aca="false">SUM(B11:B18)</f>
        <v>67</v>
      </c>
      <c r="C19" s="6"/>
      <c r="D19" s="6"/>
    </row>
    <row r="20" customFormat="false" ht="15" hidden="false" customHeight="true" outlineLevel="0" collapsed="false">
      <c r="A20" s="4"/>
      <c r="B20" s="4"/>
      <c r="C20" s="4"/>
      <c r="D20" s="4"/>
    </row>
    <row r="21" customFormat="false" ht="15" hidden="false" customHeight="true" outlineLevel="0" collapsed="false">
      <c r="A21" s="4" t="s">
        <v>19</v>
      </c>
      <c r="B21" s="4"/>
      <c r="C21" s="4"/>
      <c r="D21"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8"/>
    <col collapsed="false" customWidth="true" hidden="false" outlineLevel="0" max="3" min="3" style="1" width="14"/>
    <col collapsed="false" customWidth="true" hidden="false" outlineLevel="0" max="4" min="4" style="1" width="12"/>
    <col collapsed="false" customWidth="true" hidden="false" outlineLevel="0" max="6" min="5" style="1" width="55"/>
    <col collapsed="false" customWidth="true" hidden="false" outlineLevel="0" max="7" min="7" style="1" width="38"/>
    <col collapsed="false" customWidth="true" hidden="false" outlineLevel="0" max="8" min="8" style="1" width="20"/>
    <col collapsed="false" customWidth="true" hidden="false" outlineLevel="0" max="9" min="9" style="1" width="22"/>
    <col collapsed="false" customWidth="true" hidden="false" outlineLevel="0" max="10" min="10" style="1" width="14"/>
    <col collapsed="false" customWidth="true" hidden="false" outlineLevel="0" max="11" min="11" style="0" width="14"/>
    <col collapsed="false" customWidth="true" hidden="false" outlineLevel="0" max="13" min="12" style="0" width="80"/>
  </cols>
  <sheetData>
    <row r="1" customFormat="false" ht="24" hidden="false" customHeight="true" outlineLevel="0" collapsed="false">
      <c r="A1" s="8" t="s">
        <v>20</v>
      </c>
      <c r="B1" s="8" t="s">
        <v>1</v>
      </c>
      <c r="C1" s="8" t="s">
        <v>10</v>
      </c>
      <c r="D1" s="8" t="s">
        <v>21</v>
      </c>
      <c r="E1" s="8" t="s">
        <v>22</v>
      </c>
      <c r="F1" s="8" t="s">
        <v>23</v>
      </c>
      <c r="G1" s="8" t="s">
        <v>24</v>
      </c>
      <c r="H1" s="8" t="s">
        <v>25</v>
      </c>
      <c r="I1" s="8" t="s">
        <v>26</v>
      </c>
      <c r="J1" s="8" t="s">
        <v>27</v>
      </c>
      <c r="K1" s="8" t="s">
        <v>28</v>
      </c>
      <c r="L1" s="8" t="s">
        <v>29</v>
      </c>
      <c r="M1" s="8" t="s">
        <v>30</v>
      </c>
    </row>
    <row r="2" customFormat="false" ht="23.25" hidden="false" customHeight="true" outlineLevel="0" collapsed="false">
      <c r="A2" s="9" t="s">
        <v>31</v>
      </c>
      <c r="B2" s="10" t="s">
        <v>5</v>
      </c>
      <c r="C2" s="9" t="s">
        <v>15</v>
      </c>
      <c r="D2" s="11" t="s">
        <v>32</v>
      </c>
      <c r="E2" s="11" t="s">
        <v>33</v>
      </c>
      <c r="F2" s="9" t="s">
        <v>34</v>
      </c>
      <c r="G2" s="9" t="s">
        <v>35</v>
      </c>
      <c r="H2" s="9" t="s">
        <v>36</v>
      </c>
      <c r="I2" s="9" t="s">
        <v>37</v>
      </c>
      <c r="J2" s="9" t="s">
        <v>3</v>
      </c>
      <c r="K2" s="12" t="s">
        <v>38</v>
      </c>
      <c r="L2" s="13" t="s">
        <v>39</v>
      </c>
      <c r="M2" s="13" t="s">
        <v>40</v>
      </c>
    </row>
    <row r="3" customFormat="false" ht="23.25" hidden="false" customHeight="true" outlineLevel="0" collapsed="false">
      <c r="A3" s="9" t="s">
        <v>41</v>
      </c>
      <c r="B3" s="10" t="s">
        <v>5</v>
      </c>
      <c r="C3" s="9" t="s">
        <v>15</v>
      </c>
      <c r="D3" s="11" t="s">
        <v>32</v>
      </c>
      <c r="E3" s="11" t="s">
        <v>42</v>
      </c>
      <c r="F3" s="9" t="s">
        <v>43</v>
      </c>
      <c r="G3" s="9" t="s">
        <v>44</v>
      </c>
      <c r="H3" s="9" t="s">
        <v>36</v>
      </c>
      <c r="I3" s="9" t="s">
        <v>37</v>
      </c>
      <c r="J3" s="9" t="s">
        <v>3</v>
      </c>
      <c r="K3" s="12" t="s">
        <v>45</v>
      </c>
      <c r="L3" s="13" t="s">
        <v>46</v>
      </c>
      <c r="M3" s="13" t="s">
        <v>47</v>
      </c>
    </row>
    <row r="4" customFormat="false" ht="23.25" hidden="false" customHeight="true" outlineLevel="0" collapsed="false">
      <c r="A4" s="9" t="s">
        <v>48</v>
      </c>
      <c r="B4" s="10" t="s">
        <v>5</v>
      </c>
      <c r="C4" s="9" t="s">
        <v>17</v>
      </c>
      <c r="D4" s="11" t="s">
        <v>49</v>
      </c>
      <c r="E4" s="11" t="s">
        <v>50</v>
      </c>
      <c r="F4" s="9" t="s">
        <v>51</v>
      </c>
      <c r="G4" s="9" t="s">
        <v>52</v>
      </c>
      <c r="H4" s="9" t="s">
        <v>53</v>
      </c>
      <c r="I4" s="9" t="s">
        <v>37</v>
      </c>
      <c r="J4" s="9" t="s">
        <v>3</v>
      </c>
      <c r="K4" s="12" t="s">
        <v>54</v>
      </c>
      <c r="L4" s="13" t="s">
        <v>55</v>
      </c>
      <c r="M4" s="13" t="s">
        <v>56</v>
      </c>
    </row>
    <row r="5" customFormat="false" ht="15" hidden="false" customHeight="true" outlineLevel="0" collapsed="false">
      <c r="A5" s="9" t="s">
        <v>57</v>
      </c>
      <c r="B5" s="10" t="s">
        <v>5</v>
      </c>
      <c r="C5" s="9" t="s">
        <v>11</v>
      </c>
      <c r="D5" s="11" t="s">
        <v>58</v>
      </c>
      <c r="E5" s="11" t="s">
        <v>59</v>
      </c>
      <c r="F5" s="9" t="s">
        <v>60</v>
      </c>
      <c r="G5" s="9" t="s">
        <v>61</v>
      </c>
      <c r="H5" s="9" t="s">
        <v>62</v>
      </c>
      <c r="I5" s="9" t="s">
        <v>37</v>
      </c>
      <c r="J5" s="9" t="s">
        <v>3</v>
      </c>
      <c r="K5" s="12" t="s">
        <v>63</v>
      </c>
      <c r="L5" s="13" t="s">
        <v>64</v>
      </c>
      <c r="M5" s="13" t="s">
        <v>65</v>
      </c>
    </row>
    <row r="6" customFormat="false" ht="23.25" hidden="false" customHeight="true" outlineLevel="0" collapsed="false">
      <c r="A6" s="9" t="s">
        <v>66</v>
      </c>
      <c r="B6" s="10" t="s">
        <v>5</v>
      </c>
      <c r="C6" s="9" t="s">
        <v>11</v>
      </c>
      <c r="D6" s="11" t="s">
        <v>58</v>
      </c>
      <c r="E6" s="11" t="s">
        <v>67</v>
      </c>
      <c r="F6" s="9" t="s">
        <v>68</v>
      </c>
      <c r="G6" s="9" t="s">
        <v>69</v>
      </c>
      <c r="H6" s="9" t="s">
        <v>36</v>
      </c>
      <c r="I6" s="9" t="s">
        <v>37</v>
      </c>
      <c r="J6" s="9" t="s">
        <v>3</v>
      </c>
      <c r="K6" s="12" t="s">
        <v>70</v>
      </c>
      <c r="L6" s="13" t="s">
        <v>71</v>
      </c>
      <c r="M6" s="13" t="s">
        <v>72</v>
      </c>
    </row>
    <row r="7" customFormat="false" ht="23.25" hidden="false" customHeight="true" outlineLevel="0" collapsed="false">
      <c r="A7" s="9" t="s">
        <v>73</v>
      </c>
      <c r="B7" s="10" t="s">
        <v>5</v>
      </c>
      <c r="C7" s="9" t="s">
        <v>18</v>
      </c>
      <c r="D7" s="11" t="s">
        <v>74</v>
      </c>
      <c r="E7" s="11" t="s">
        <v>75</v>
      </c>
      <c r="F7" s="9" t="s">
        <v>76</v>
      </c>
      <c r="G7" s="9" t="s">
        <v>77</v>
      </c>
      <c r="H7" s="9" t="s">
        <v>78</v>
      </c>
      <c r="I7" s="9" t="s">
        <v>37</v>
      </c>
      <c r="J7" s="9" t="s">
        <v>3</v>
      </c>
      <c r="K7" s="12" t="s">
        <v>79</v>
      </c>
      <c r="L7" s="13" t="s">
        <v>80</v>
      </c>
      <c r="M7" s="13" t="s">
        <v>81</v>
      </c>
    </row>
    <row r="8" customFormat="false" ht="23.25" hidden="false" customHeight="true" outlineLevel="0" collapsed="false">
      <c r="A8" s="9" t="s">
        <v>82</v>
      </c>
      <c r="B8" s="10" t="s">
        <v>5</v>
      </c>
      <c r="C8" s="9" t="s">
        <v>18</v>
      </c>
      <c r="D8" s="11" t="s">
        <v>74</v>
      </c>
      <c r="E8" s="11" t="s">
        <v>83</v>
      </c>
      <c r="F8" s="9" t="s">
        <v>84</v>
      </c>
      <c r="G8" s="9" t="s">
        <v>69</v>
      </c>
      <c r="H8" s="9" t="s">
        <v>78</v>
      </c>
      <c r="I8" s="9" t="s">
        <v>37</v>
      </c>
      <c r="J8" s="9" t="s">
        <v>3</v>
      </c>
      <c r="K8" s="12" t="s">
        <v>85</v>
      </c>
      <c r="L8" s="13" t="s">
        <v>86</v>
      </c>
      <c r="M8" s="13" t="s">
        <v>87</v>
      </c>
    </row>
    <row r="9" customFormat="false" ht="23.25" hidden="false" customHeight="true" outlineLevel="0" collapsed="false">
      <c r="A9" s="9" t="s">
        <v>88</v>
      </c>
      <c r="B9" s="10" t="s">
        <v>5</v>
      </c>
      <c r="C9" s="9" t="s">
        <v>18</v>
      </c>
      <c r="D9" s="11" t="s">
        <v>74</v>
      </c>
      <c r="E9" s="11" t="s">
        <v>89</v>
      </c>
      <c r="F9" s="9" t="s">
        <v>90</v>
      </c>
      <c r="G9" s="9" t="s">
        <v>91</v>
      </c>
      <c r="H9" s="9" t="s">
        <v>78</v>
      </c>
      <c r="I9" s="9" t="s">
        <v>37</v>
      </c>
      <c r="J9" s="9" t="s">
        <v>3</v>
      </c>
      <c r="K9" s="12" t="s">
        <v>92</v>
      </c>
      <c r="L9" s="13" t="s">
        <v>93</v>
      </c>
      <c r="M9" s="13" t="s">
        <v>94</v>
      </c>
    </row>
    <row r="10" customFormat="false" ht="23.25" hidden="false" customHeight="true" outlineLevel="0" collapsed="false">
      <c r="A10" s="9" t="s">
        <v>95</v>
      </c>
      <c r="B10" s="10" t="s">
        <v>5</v>
      </c>
      <c r="C10" s="9" t="s">
        <v>14</v>
      </c>
      <c r="D10" s="11" t="s">
        <v>96</v>
      </c>
      <c r="E10" s="11" t="s">
        <v>97</v>
      </c>
      <c r="F10" s="9" t="s">
        <v>98</v>
      </c>
      <c r="G10" s="9" t="s">
        <v>99</v>
      </c>
      <c r="H10" s="9" t="s">
        <v>53</v>
      </c>
      <c r="I10" s="9" t="s">
        <v>37</v>
      </c>
      <c r="J10" s="9" t="s">
        <v>3</v>
      </c>
      <c r="K10" s="12" t="s">
        <v>100</v>
      </c>
      <c r="L10" s="13" t="s">
        <v>101</v>
      </c>
      <c r="M10" s="13" t="s">
        <v>102</v>
      </c>
    </row>
    <row r="11" customFormat="false" ht="23.25" hidden="false" customHeight="true" outlineLevel="0" collapsed="false">
      <c r="A11" s="9" t="s">
        <v>103</v>
      </c>
      <c r="B11" s="10" t="s">
        <v>5</v>
      </c>
      <c r="C11" s="9" t="s">
        <v>15</v>
      </c>
      <c r="D11" s="11" t="s">
        <v>32</v>
      </c>
      <c r="E11" s="11" t="s">
        <v>104</v>
      </c>
      <c r="F11" s="9" t="s">
        <v>105</v>
      </c>
      <c r="G11" s="9" t="s">
        <v>106</v>
      </c>
      <c r="H11" s="9" t="s">
        <v>62</v>
      </c>
      <c r="I11" s="9" t="s">
        <v>37</v>
      </c>
      <c r="J11" s="9" t="s">
        <v>3</v>
      </c>
      <c r="K11" s="12" t="s">
        <v>107</v>
      </c>
      <c r="L11" s="13" t="s">
        <v>108</v>
      </c>
      <c r="M11" s="13" t="s">
        <v>109</v>
      </c>
    </row>
    <row r="12" customFormat="false" ht="23.25" hidden="false" customHeight="true" outlineLevel="0" collapsed="false">
      <c r="A12" s="9" t="s">
        <v>110</v>
      </c>
      <c r="B12" s="10" t="s">
        <v>5</v>
      </c>
      <c r="C12" s="9" t="s">
        <v>16</v>
      </c>
      <c r="D12" s="11" t="s">
        <v>111</v>
      </c>
      <c r="E12" s="11" t="s">
        <v>112</v>
      </c>
      <c r="F12" s="9" t="s">
        <v>113</v>
      </c>
      <c r="G12" s="9" t="s">
        <v>114</v>
      </c>
      <c r="H12" s="9" t="s">
        <v>53</v>
      </c>
      <c r="I12" s="9" t="s">
        <v>37</v>
      </c>
      <c r="J12" s="9" t="s">
        <v>3</v>
      </c>
      <c r="K12" s="12" t="s">
        <v>115</v>
      </c>
      <c r="L12" s="13" t="s">
        <v>116</v>
      </c>
      <c r="M12" s="13" t="s">
        <v>117</v>
      </c>
    </row>
    <row r="13" customFormat="false" ht="23.25" hidden="false" customHeight="true" outlineLevel="0" collapsed="false">
      <c r="A13" s="9" t="s">
        <v>118</v>
      </c>
      <c r="B13" s="14" t="s">
        <v>6</v>
      </c>
      <c r="C13" s="9" t="s">
        <v>11</v>
      </c>
      <c r="D13" s="11" t="s">
        <v>58</v>
      </c>
      <c r="E13" s="11" t="s">
        <v>119</v>
      </c>
      <c r="F13" s="9" t="s">
        <v>120</v>
      </c>
      <c r="G13" s="9" t="s">
        <v>61</v>
      </c>
      <c r="H13" s="9" t="s">
        <v>36</v>
      </c>
      <c r="I13" s="9" t="s">
        <v>37</v>
      </c>
      <c r="J13" s="9" t="s">
        <v>3</v>
      </c>
      <c r="K13" s="12" t="s">
        <v>121</v>
      </c>
      <c r="L13" s="13" t="s">
        <v>122</v>
      </c>
      <c r="M13" s="13" t="s">
        <v>123</v>
      </c>
    </row>
    <row r="14" customFormat="false" ht="23.25" hidden="false" customHeight="true" outlineLevel="0" collapsed="false">
      <c r="A14" s="9" t="s">
        <v>124</v>
      </c>
      <c r="B14" s="14" t="s">
        <v>6</v>
      </c>
      <c r="C14" s="9" t="s">
        <v>12</v>
      </c>
      <c r="D14" s="11" t="s">
        <v>125</v>
      </c>
      <c r="E14" s="11" t="s">
        <v>126</v>
      </c>
      <c r="F14" s="9" t="s">
        <v>127</v>
      </c>
      <c r="G14" s="9" t="s">
        <v>128</v>
      </c>
      <c r="H14" s="9" t="s">
        <v>53</v>
      </c>
      <c r="I14" s="9" t="s">
        <v>37</v>
      </c>
      <c r="J14" s="9" t="s">
        <v>3</v>
      </c>
      <c r="K14" s="12" t="s">
        <v>129</v>
      </c>
      <c r="L14" s="13" t="s">
        <v>130</v>
      </c>
      <c r="M14" s="13" t="s">
        <v>131</v>
      </c>
    </row>
    <row r="15" customFormat="false" ht="23.25" hidden="false" customHeight="true" outlineLevel="0" collapsed="false">
      <c r="A15" s="9" t="s">
        <v>132</v>
      </c>
      <c r="B15" s="14" t="s">
        <v>6</v>
      </c>
      <c r="C15" s="9" t="s">
        <v>12</v>
      </c>
      <c r="D15" s="11" t="s">
        <v>125</v>
      </c>
      <c r="E15" s="11" t="s">
        <v>133</v>
      </c>
      <c r="F15" s="9" t="s">
        <v>134</v>
      </c>
      <c r="G15" s="9" t="s">
        <v>135</v>
      </c>
      <c r="H15" s="9" t="s">
        <v>36</v>
      </c>
      <c r="I15" s="9" t="s">
        <v>37</v>
      </c>
      <c r="J15" s="9" t="s">
        <v>3</v>
      </c>
      <c r="K15" s="12" t="s">
        <v>136</v>
      </c>
      <c r="L15" s="13" t="s">
        <v>137</v>
      </c>
      <c r="M15" s="13" t="s">
        <v>138</v>
      </c>
    </row>
    <row r="16" customFormat="false" ht="23.25" hidden="false" customHeight="true" outlineLevel="0" collapsed="false">
      <c r="A16" s="9" t="s">
        <v>139</v>
      </c>
      <c r="B16" s="14" t="s">
        <v>6</v>
      </c>
      <c r="C16" s="9" t="s">
        <v>12</v>
      </c>
      <c r="D16" s="11" t="s">
        <v>125</v>
      </c>
      <c r="E16" s="11" t="s">
        <v>140</v>
      </c>
      <c r="F16" s="9" t="s">
        <v>141</v>
      </c>
      <c r="G16" s="9" t="s">
        <v>142</v>
      </c>
      <c r="H16" s="9" t="s">
        <v>53</v>
      </c>
      <c r="I16" s="9" t="s">
        <v>143</v>
      </c>
      <c r="J16" s="9" t="s">
        <v>3</v>
      </c>
      <c r="K16" s="12" t="s">
        <v>144</v>
      </c>
      <c r="L16" s="13" t="s">
        <v>145</v>
      </c>
      <c r="M16" s="13" t="s">
        <v>146</v>
      </c>
    </row>
    <row r="17" customFormat="false" ht="23.25" hidden="false" customHeight="true" outlineLevel="0" collapsed="false">
      <c r="A17" s="9" t="s">
        <v>147</v>
      </c>
      <c r="B17" s="14" t="s">
        <v>6</v>
      </c>
      <c r="C17" s="9" t="s">
        <v>13</v>
      </c>
      <c r="D17" s="11" t="s">
        <v>148</v>
      </c>
      <c r="E17" s="11" t="s">
        <v>149</v>
      </c>
      <c r="F17" s="9" t="s">
        <v>150</v>
      </c>
      <c r="G17" s="9" t="s">
        <v>151</v>
      </c>
      <c r="H17" s="9" t="s">
        <v>36</v>
      </c>
      <c r="I17" s="9" t="s">
        <v>37</v>
      </c>
      <c r="J17" s="9" t="s">
        <v>3</v>
      </c>
      <c r="K17" s="12" t="s">
        <v>152</v>
      </c>
      <c r="L17" s="13" t="s">
        <v>153</v>
      </c>
      <c r="M17" s="13" t="s">
        <v>154</v>
      </c>
    </row>
    <row r="18" customFormat="false" ht="23.25" hidden="false" customHeight="true" outlineLevel="0" collapsed="false">
      <c r="A18" s="9" t="s">
        <v>155</v>
      </c>
      <c r="B18" s="14" t="s">
        <v>6</v>
      </c>
      <c r="C18" s="9" t="s">
        <v>13</v>
      </c>
      <c r="D18" s="11" t="s">
        <v>148</v>
      </c>
      <c r="E18" s="11" t="s">
        <v>156</v>
      </c>
      <c r="F18" s="9" t="s">
        <v>157</v>
      </c>
      <c r="G18" s="9" t="s">
        <v>158</v>
      </c>
      <c r="H18" s="9" t="s">
        <v>62</v>
      </c>
      <c r="I18" s="9" t="s">
        <v>37</v>
      </c>
      <c r="J18" s="9" t="s">
        <v>3</v>
      </c>
      <c r="K18" s="12" t="s">
        <v>159</v>
      </c>
      <c r="L18" s="13" t="s">
        <v>160</v>
      </c>
      <c r="M18" s="13" t="s">
        <v>161</v>
      </c>
    </row>
    <row r="19" customFormat="false" ht="23.25" hidden="false" customHeight="true" outlineLevel="0" collapsed="false">
      <c r="A19" s="9" t="s">
        <v>162</v>
      </c>
      <c r="B19" s="14" t="s">
        <v>6</v>
      </c>
      <c r="C19" s="9" t="s">
        <v>14</v>
      </c>
      <c r="D19" s="11" t="s">
        <v>96</v>
      </c>
      <c r="E19" s="11" t="s">
        <v>163</v>
      </c>
      <c r="F19" s="9" t="s">
        <v>164</v>
      </c>
      <c r="G19" s="9" t="s">
        <v>165</v>
      </c>
      <c r="H19" s="9" t="s">
        <v>53</v>
      </c>
      <c r="I19" s="9" t="s">
        <v>37</v>
      </c>
      <c r="J19" s="9" t="s">
        <v>3</v>
      </c>
      <c r="K19" s="12" t="s">
        <v>166</v>
      </c>
      <c r="L19" s="13" t="s">
        <v>167</v>
      </c>
      <c r="M19" s="13" t="s">
        <v>168</v>
      </c>
    </row>
    <row r="20" customFormat="false" ht="23.25" hidden="false" customHeight="true" outlineLevel="0" collapsed="false">
      <c r="A20" s="9" t="s">
        <v>169</v>
      </c>
      <c r="B20" s="14" t="s">
        <v>6</v>
      </c>
      <c r="C20" s="9" t="s">
        <v>14</v>
      </c>
      <c r="D20" s="11" t="s">
        <v>96</v>
      </c>
      <c r="E20" s="11" t="s">
        <v>170</v>
      </c>
      <c r="F20" s="9" t="s">
        <v>171</v>
      </c>
      <c r="G20" s="9" t="s">
        <v>172</v>
      </c>
      <c r="H20" s="9" t="s">
        <v>36</v>
      </c>
      <c r="I20" s="9" t="s">
        <v>37</v>
      </c>
      <c r="J20" s="9" t="s">
        <v>3</v>
      </c>
      <c r="K20" s="12" t="s">
        <v>173</v>
      </c>
      <c r="L20" s="13" t="s">
        <v>174</v>
      </c>
      <c r="M20" s="13" t="s">
        <v>175</v>
      </c>
    </row>
    <row r="21" customFormat="false" ht="23.25" hidden="false" customHeight="true" outlineLevel="0" collapsed="false">
      <c r="A21" s="9" t="s">
        <v>176</v>
      </c>
      <c r="B21" s="14" t="s">
        <v>6</v>
      </c>
      <c r="C21" s="9" t="s">
        <v>15</v>
      </c>
      <c r="D21" s="11" t="s">
        <v>32</v>
      </c>
      <c r="E21" s="11" t="s">
        <v>177</v>
      </c>
      <c r="F21" s="9" t="s">
        <v>178</v>
      </c>
      <c r="G21" s="9" t="s">
        <v>179</v>
      </c>
      <c r="H21" s="9" t="s">
        <v>36</v>
      </c>
      <c r="I21" s="9" t="s">
        <v>37</v>
      </c>
      <c r="J21" s="9" t="s">
        <v>3</v>
      </c>
      <c r="K21" s="12" t="s">
        <v>180</v>
      </c>
      <c r="L21" s="13" t="s">
        <v>181</v>
      </c>
      <c r="M21" s="13" t="s">
        <v>182</v>
      </c>
    </row>
    <row r="22" customFormat="false" ht="23.25" hidden="false" customHeight="true" outlineLevel="0" collapsed="false">
      <c r="A22" s="9" t="s">
        <v>183</v>
      </c>
      <c r="B22" s="14" t="s">
        <v>6</v>
      </c>
      <c r="C22" s="9" t="s">
        <v>17</v>
      </c>
      <c r="D22" s="11" t="s">
        <v>49</v>
      </c>
      <c r="E22" s="11" t="s">
        <v>184</v>
      </c>
      <c r="F22" s="9" t="s">
        <v>185</v>
      </c>
      <c r="G22" s="9" t="s">
        <v>186</v>
      </c>
      <c r="H22" s="9" t="s">
        <v>36</v>
      </c>
      <c r="I22" s="9" t="s">
        <v>37</v>
      </c>
      <c r="J22" s="9" t="s">
        <v>3</v>
      </c>
      <c r="K22" s="12" t="s">
        <v>187</v>
      </c>
      <c r="L22" s="13" t="s">
        <v>188</v>
      </c>
      <c r="M22" s="13" t="s">
        <v>189</v>
      </c>
    </row>
    <row r="23" customFormat="false" ht="23.25" hidden="false" customHeight="true" outlineLevel="0" collapsed="false">
      <c r="A23" s="9" t="s">
        <v>190</v>
      </c>
      <c r="B23" s="14" t="s">
        <v>6</v>
      </c>
      <c r="C23" s="9" t="s">
        <v>17</v>
      </c>
      <c r="D23" s="11" t="s">
        <v>49</v>
      </c>
      <c r="E23" s="11" t="s">
        <v>191</v>
      </c>
      <c r="F23" s="9" t="s">
        <v>192</v>
      </c>
      <c r="G23" s="9" t="s">
        <v>193</v>
      </c>
      <c r="H23" s="9" t="s">
        <v>36</v>
      </c>
      <c r="I23" s="9" t="s">
        <v>37</v>
      </c>
      <c r="J23" s="9" t="s">
        <v>3</v>
      </c>
      <c r="K23" s="12" t="s">
        <v>194</v>
      </c>
      <c r="L23" s="13" t="s">
        <v>195</v>
      </c>
      <c r="M23" s="13" t="s">
        <v>196</v>
      </c>
    </row>
    <row r="24" customFormat="false" ht="15" hidden="false" customHeight="true" outlineLevel="0" collapsed="false">
      <c r="A24" s="9" t="s">
        <v>197</v>
      </c>
      <c r="B24" s="14" t="s">
        <v>6</v>
      </c>
      <c r="C24" s="9" t="s">
        <v>17</v>
      </c>
      <c r="D24" s="11" t="s">
        <v>49</v>
      </c>
      <c r="E24" s="11" t="s">
        <v>198</v>
      </c>
      <c r="F24" s="9" t="s">
        <v>199</v>
      </c>
      <c r="G24" s="9" t="s">
        <v>200</v>
      </c>
      <c r="H24" s="9" t="s">
        <v>62</v>
      </c>
      <c r="I24" s="9" t="s">
        <v>37</v>
      </c>
      <c r="J24" s="9" t="s">
        <v>3</v>
      </c>
      <c r="K24" s="12" t="s">
        <v>201</v>
      </c>
      <c r="L24" s="13" t="s">
        <v>202</v>
      </c>
      <c r="M24" s="13" t="s">
        <v>203</v>
      </c>
    </row>
    <row r="25" customFormat="false" ht="23.25" hidden="false" customHeight="true" outlineLevel="0" collapsed="false">
      <c r="A25" s="9" t="s">
        <v>204</v>
      </c>
      <c r="B25" s="14" t="s">
        <v>6</v>
      </c>
      <c r="C25" s="9" t="s">
        <v>16</v>
      </c>
      <c r="D25" s="11" t="s">
        <v>111</v>
      </c>
      <c r="E25" s="11" t="s">
        <v>205</v>
      </c>
      <c r="F25" s="9" t="s">
        <v>206</v>
      </c>
      <c r="G25" s="9" t="s">
        <v>207</v>
      </c>
      <c r="H25" s="9" t="s">
        <v>36</v>
      </c>
      <c r="I25" s="9" t="s">
        <v>37</v>
      </c>
      <c r="J25" s="9" t="s">
        <v>3</v>
      </c>
      <c r="K25" s="12" t="s">
        <v>208</v>
      </c>
      <c r="L25" s="13" t="s">
        <v>209</v>
      </c>
      <c r="M25" s="13" t="s">
        <v>210</v>
      </c>
    </row>
    <row r="26" customFormat="false" ht="23.25" hidden="false" customHeight="true" outlineLevel="0" collapsed="false">
      <c r="A26" s="9" t="s">
        <v>211</v>
      </c>
      <c r="B26" s="14" t="s">
        <v>6</v>
      </c>
      <c r="C26" s="9" t="s">
        <v>16</v>
      </c>
      <c r="D26" s="11" t="s">
        <v>111</v>
      </c>
      <c r="E26" s="11" t="s">
        <v>212</v>
      </c>
      <c r="F26" s="9" t="s">
        <v>213</v>
      </c>
      <c r="G26" s="9" t="s">
        <v>214</v>
      </c>
      <c r="H26" s="9" t="s">
        <v>36</v>
      </c>
      <c r="I26" s="9" t="s">
        <v>37</v>
      </c>
      <c r="J26" s="9" t="s">
        <v>3</v>
      </c>
      <c r="K26" s="12" t="s">
        <v>215</v>
      </c>
      <c r="L26" s="13" t="s">
        <v>216</v>
      </c>
      <c r="M26" s="13" t="s">
        <v>217</v>
      </c>
    </row>
    <row r="27" customFormat="false" ht="23.25" hidden="false" customHeight="true" outlineLevel="0" collapsed="false">
      <c r="A27" s="9" t="s">
        <v>218</v>
      </c>
      <c r="B27" s="14" t="s">
        <v>6</v>
      </c>
      <c r="C27" s="9" t="s">
        <v>18</v>
      </c>
      <c r="D27" s="11" t="s">
        <v>74</v>
      </c>
      <c r="E27" s="11" t="s">
        <v>219</v>
      </c>
      <c r="F27" s="9" t="s">
        <v>220</v>
      </c>
      <c r="G27" s="9" t="s">
        <v>221</v>
      </c>
      <c r="H27" s="9" t="s">
        <v>78</v>
      </c>
      <c r="I27" s="9" t="s">
        <v>37</v>
      </c>
      <c r="J27" s="9" t="s">
        <v>3</v>
      </c>
      <c r="K27" s="12" t="s">
        <v>222</v>
      </c>
      <c r="L27" s="13" t="s">
        <v>223</v>
      </c>
      <c r="M27" s="13" t="s">
        <v>224</v>
      </c>
    </row>
    <row r="28" customFormat="false" ht="23.25" hidden="false" customHeight="true" outlineLevel="0" collapsed="false">
      <c r="A28" s="9" t="s">
        <v>225</v>
      </c>
      <c r="B28" s="14" t="s">
        <v>6</v>
      </c>
      <c r="C28" s="9" t="s">
        <v>18</v>
      </c>
      <c r="D28" s="11" t="s">
        <v>74</v>
      </c>
      <c r="E28" s="11" t="s">
        <v>226</v>
      </c>
      <c r="F28" s="9" t="s">
        <v>227</v>
      </c>
      <c r="G28" s="9" t="s">
        <v>228</v>
      </c>
      <c r="H28" s="9" t="s">
        <v>78</v>
      </c>
      <c r="I28" s="9" t="s">
        <v>37</v>
      </c>
      <c r="J28" s="9" t="s">
        <v>3</v>
      </c>
      <c r="K28" s="12" t="s">
        <v>229</v>
      </c>
      <c r="L28" s="13" t="s">
        <v>230</v>
      </c>
      <c r="M28" s="13" t="s">
        <v>231</v>
      </c>
    </row>
    <row r="29" customFormat="false" ht="23.25" hidden="false" customHeight="true" outlineLevel="0" collapsed="false">
      <c r="A29" s="9" t="s">
        <v>232</v>
      </c>
      <c r="B29" s="14" t="s">
        <v>6</v>
      </c>
      <c r="C29" s="9" t="s">
        <v>11</v>
      </c>
      <c r="D29" s="11" t="s">
        <v>58</v>
      </c>
      <c r="E29" s="11" t="s">
        <v>233</v>
      </c>
      <c r="F29" s="9" t="s">
        <v>234</v>
      </c>
      <c r="G29" s="9" t="s">
        <v>61</v>
      </c>
      <c r="H29" s="9" t="s">
        <v>53</v>
      </c>
      <c r="I29" s="9" t="s">
        <v>235</v>
      </c>
      <c r="J29" s="9" t="s">
        <v>3</v>
      </c>
      <c r="K29" s="12" t="s">
        <v>236</v>
      </c>
      <c r="L29" s="13" t="s">
        <v>237</v>
      </c>
      <c r="M29" s="13" t="s">
        <v>238</v>
      </c>
    </row>
    <row r="30" customFormat="false" ht="23.25" hidden="false" customHeight="true" outlineLevel="0" collapsed="false">
      <c r="A30" s="9" t="s">
        <v>239</v>
      </c>
      <c r="B30" s="14" t="s">
        <v>6</v>
      </c>
      <c r="C30" s="9" t="s">
        <v>13</v>
      </c>
      <c r="D30" s="11" t="s">
        <v>148</v>
      </c>
      <c r="E30" s="11" t="s">
        <v>240</v>
      </c>
      <c r="F30" s="9" t="s">
        <v>241</v>
      </c>
      <c r="G30" s="9" t="s">
        <v>242</v>
      </c>
      <c r="H30" s="9" t="s">
        <v>62</v>
      </c>
      <c r="I30" s="9" t="s">
        <v>243</v>
      </c>
      <c r="J30" s="9" t="s">
        <v>3</v>
      </c>
      <c r="K30" s="12" t="s">
        <v>244</v>
      </c>
      <c r="L30" s="13" t="s">
        <v>245</v>
      </c>
      <c r="M30" s="13" t="s">
        <v>246</v>
      </c>
    </row>
    <row r="31" customFormat="false" ht="23.25" hidden="false" customHeight="true" outlineLevel="0" collapsed="false">
      <c r="A31" s="9" t="s">
        <v>247</v>
      </c>
      <c r="B31" s="14" t="s">
        <v>6</v>
      </c>
      <c r="C31" s="9" t="s">
        <v>13</v>
      </c>
      <c r="D31" s="11" t="s">
        <v>148</v>
      </c>
      <c r="E31" s="11" t="s">
        <v>248</v>
      </c>
      <c r="F31" s="9" t="s">
        <v>249</v>
      </c>
      <c r="G31" s="9" t="s">
        <v>250</v>
      </c>
      <c r="H31" s="9" t="s">
        <v>36</v>
      </c>
      <c r="I31" s="9" t="s">
        <v>251</v>
      </c>
      <c r="J31" s="9" t="s">
        <v>3</v>
      </c>
      <c r="K31" s="12" t="s">
        <v>252</v>
      </c>
      <c r="L31" s="13" t="s">
        <v>253</v>
      </c>
      <c r="M31" s="13" t="s">
        <v>254</v>
      </c>
    </row>
    <row r="32" customFormat="false" ht="23.25" hidden="false" customHeight="true" outlineLevel="0" collapsed="false">
      <c r="A32" s="9" t="s">
        <v>255</v>
      </c>
      <c r="B32" s="14" t="s">
        <v>6</v>
      </c>
      <c r="C32" s="9" t="s">
        <v>15</v>
      </c>
      <c r="D32" s="11" t="s">
        <v>32</v>
      </c>
      <c r="E32" s="11" t="s">
        <v>256</v>
      </c>
      <c r="F32" s="9" t="s">
        <v>257</v>
      </c>
      <c r="G32" s="9" t="s">
        <v>258</v>
      </c>
      <c r="H32" s="9" t="s">
        <v>53</v>
      </c>
      <c r="I32" s="9" t="s">
        <v>259</v>
      </c>
      <c r="J32" s="9" t="s">
        <v>3</v>
      </c>
      <c r="K32" s="12" t="s">
        <v>260</v>
      </c>
      <c r="L32" s="13" t="s">
        <v>261</v>
      </c>
      <c r="M32" s="13" t="s">
        <v>262</v>
      </c>
    </row>
    <row r="33" customFormat="false" ht="23.25" hidden="false" customHeight="true" outlineLevel="0" collapsed="false">
      <c r="A33" s="9" t="s">
        <v>263</v>
      </c>
      <c r="B33" s="14" t="s">
        <v>6</v>
      </c>
      <c r="C33" s="9" t="s">
        <v>14</v>
      </c>
      <c r="D33" s="11" t="s">
        <v>96</v>
      </c>
      <c r="E33" s="11" t="s">
        <v>264</v>
      </c>
      <c r="F33" s="9" t="s">
        <v>265</v>
      </c>
      <c r="G33" s="9" t="s">
        <v>266</v>
      </c>
      <c r="H33" s="9" t="s">
        <v>267</v>
      </c>
      <c r="I33" s="9" t="s">
        <v>268</v>
      </c>
      <c r="J33" s="9" t="s">
        <v>3</v>
      </c>
      <c r="K33" s="12" t="s">
        <v>269</v>
      </c>
      <c r="L33" s="13" t="s">
        <v>270</v>
      </c>
      <c r="M33" s="13" t="s">
        <v>271</v>
      </c>
    </row>
    <row r="34" customFormat="false" ht="23.25" hidden="false" customHeight="true" outlineLevel="0" collapsed="false">
      <c r="A34" s="9" t="s">
        <v>272</v>
      </c>
      <c r="B34" s="15" t="s">
        <v>7</v>
      </c>
      <c r="C34" s="9" t="s">
        <v>11</v>
      </c>
      <c r="D34" s="11" t="s">
        <v>58</v>
      </c>
      <c r="E34" s="11" t="s">
        <v>273</v>
      </c>
      <c r="F34" s="9" t="s">
        <v>274</v>
      </c>
      <c r="G34" s="9" t="s">
        <v>69</v>
      </c>
      <c r="H34" s="9" t="s">
        <v>62</v>
      </c>
      <c r="I34" s="9" t="s">
        <v>37</v>
      </c>
      <c r="J34" s="9" t="s">
        <v>3</v>
      </c>
      <c r="K34" s="12" t="s">
        <v>275</v>
      </c>
      <c r="L34" s="13" t="s">
        <v>276</v>
      </c>
      <c r="M34" s="13" t="s">
        <v>277</v>
      </c>
    </row>
    <row r="35" customFormat="false" ht="23.25" hidden="false" customHeight="true" outlineLevel="0" collapsed="false">
      <c r="A35" s="9" t="s">
        <v>278</v>
      </c>
      <c r="B35" s="15" t="s">
        <v>7</v>
      </c>
      <c r="C35" s="9" t="s">
        <v>13</v>
      </c>
      <c r="D35" s="11" t="s">
        <v>148</v>
      </c>
      <c r="E35" s="11" t="s">
        <v>279</v>
      </c>
      <c r="F35" s="9" t="s">
        <v>280</v>
      </c>
      <c r="G35" s="9" t="s">
        <v>281</v>
      </c>
      <c r="H35" s="9" t="s">
        <v>36</v>
      </c>
      <c r="I35" s="9" t="s">
        <v>143</v>
      </c>
      <c r="J35" s="9" t="s">
        <v>3</v>
      </c>
      <c r="K35" s="12" t="s">
        <v>282</v>
      </c>
      <c r="L35" s="13" t="s">
        <v>283</v>
      </c>
      <c r="M35" s="13" t="s">
        <v>284</v>
      </c>
    </row>
    <row r="36" customFormat="false" ht="23.25" hidden="false" customHeight="true" outlineLevel="0" collapsed="false">
      <c r="A36" s="9" t="s">
        <v>285</v>
      </c>
      <c r="B36" s="15" t="s">
        <v>7</v>
      </c>
      <c r="C36" s="9" t="s">
        <v>13</v>
      </c>
      <c r="D36" s="11" t="s">
        <v>148</v>
      </c>
      <c r="E36" s="11" t="s">
        <v>286</v>
      </c>
      <c r="F36" s="9" t="s">
        <v>287</v>
      </c>
      <c r="G36" s="9" t="s">
        <v>281</v>
      </c>
      <c r="H36" s="9" t="s">
        <v>36</v>
      </c>
      <c r="I36" s="9" t="s">
        <v>37</v>
      </c>
      <c r="J36" s="9" t="s">
        <v>3</v>
      </c>
      <c r="K36" s="12" t="s">
        <v>288</v>
      </c>
      <c r="L36" s="13" t="s">
        <v>289</v>
      </c>
      <c r="M36" s="13" t="s">
        <v>290</v>
      </c>
    </row>
    <row r="37" customFormat="false" ht="23.25" hidden="false" customHeight="true" outlineLevel="0" collapsed="false">
      <c r="A37" s="9" t="s">
        <v>291</v>
      </c>
      <c r="B37" s="15" t="s">
        <v>7</v>
      </c>
      <c r="C37" s="9" t="s">
        <v>14</v>
      </c>
      <c r="D37" s="11" t="s">
        <v>96</v>
      </c>
      <c r="E37" s="11" t="s">
        <v>292</v>
      </c>
      <c r="F37" s="9" t="s">
        <v>293</v>
      </c>
      <c r="G37" s="9" t="s">
        <v>294</v>
      </c>
      <c r="H37" s="9" t="s">
        <v>53</v>
      </c>
      <c r="I37" s="9" t="s">
        <v>143</v>
      </c>
      <c r="J37" s="9" t="s">
        <v>3</v>
      </c>
      <c r="K37" s="12" t="s">
        <v>295</v>
      </c>
      <c r="L37" s="13" t="s">
        <v>296</v>
      </c>
      <c r="M37" s="13" t="s">
        <v>297</v>
      </c>
    </row>
    <row r="38" customFormat="false" ht="23.25" hidden="false" customHeight="true" outlineLevel="0" collapsed="false">
      <c r="A38" s="9" t="s">
        <v>298</v>
      </c>
      <c r="B38" s="15" t="s">
        <v>7</v>
      </c>
      <c r="C38" s="9" t="s">
        <v>16</v>
      </c>
      <c r="D38" s="11" t="s">
        <v>111</v>
      </c>
      <c r="E38" s="11" t="s">
        <v>299</v>
      </c>
      <c r="F38" s="9" t="s">
        <v>300</v>
      </c>
      <c r="G38" s="9" t="s">
        <v>301</v>
      </c>
      <c r="H38" s="9" t="s">
        <v>302</v>
      </c>
      <c r="I38" s="9" t="s">
        <v>37</v>
      </c>
      <c r="J38" s="9" t="s">
        <v>3</v>
      </c>
      <c r="K38" s="12" t="s">
        <v>303</v>
      </c>
      <c r="L38" s="13" t="s">
        <v>304</v>
      </c>
      <c r="M38" s="13" t="s">
        <v>305</v>
      </c>
    </row>
    <row r="39" customFormat="false" ht="23.25" hidden="false" customHeight="true" outlineLevel="0" collapsed="false">
      <c r="A39" s="9" t="s">
        <v>306</v>
      </c>
      <c r="B39" s="15" t="s">
        <v>7</v>
      </c>
      <c r="C39" s="9" t="s">
        <v>17</v>
      </c>
      <c r="D39" s="11" t="s">
        <v>49</v>
      </c>
      <c r="E39" s="11" t="s">
        <v>307</v>
      </c>
      <c r="F39" s="9" t="s">
        <v>308</v>
      </c>
      <c r="G39" s="9" t="s">
        <v>309</v>
      </c>
      <c r="H39" s="9" t="s">
        <v>62</v>
      </c>
      <c r="I39" s="9" t="s">
        <v>310</v>
      </c>
      <c r="J39" s="9" t="s">
        <v>3</v>
      </c>
      <c r="K39" s="12" t="s">
        <v>311</v>
      </c>
      <c r="L39" s="13" t="s">
        <v>312</v>
      </c>
      <c r="M39" s="13" t="s">
        <v>313</v>
      </c>
    </row>
    <row r="40" customFormat="false" ht="23.25" hidden="false" customHeight="true" outlineLevel="0" collapsed="false">
      <c r="A40" s="9" t="s">
        <v>314</v>
      </c>
      <c r="B40" s="15" t="s">
        <v>7</v>
      </c>
      <c r="C40" s="9" t="s">
        <v>12</v>
      </c>
      <c r="D40" s="11" t="s">
        <v>125</v>
      </c>
      <c r="E40" s="11" t="s">
        <v>315</v>
      </c>
      <c r="F40" s="9" t="s">
        <v>316</v>
      </c>
      <c r="G40" s="9" t="s">
        <v>317</v>
      </c>
      <c r="H40" s="9" t="s">
        <v>53</v>
      </c>
      <c r="I40" s="9" t="s">
        <v>318</v>
      </c>
      <c r="J40" s="9" t="s">
        <v>3</v>
      </c>
      <c r="K40" s="12" t="s">
        <v>319</v>
      </c>
      <c r="L40" s="13" t="s">
        <v>320</v>
      </c>
      <c r="M40" s="13" t="s">
        <v>321</v>
      </c>
    </row>
    <row r="41" customFormat="false" ht="23.25" hidden="false" customHeight="true" outlineLevel="0" collapsed="false">
      <c r="A41" s="9" t="s">
        <v>322</v>
      </c>
      <c r="B41" s="15" t="s">
        <v>7</v>
      </c>
      <c r="C41" s="9" t="s">
        <v>13</v>
      </c>
      <c r="D41" s="11" t="s">
        <v>148</v>
      </c>
      <c r="E41" s="11" t="s">
        <v>323</v>
      </c>
      <c r="F41" s="9" t="s">
        <v>324</v>
      </c>
      <c r="G41" s="9" t="s">
        <v>281</v>
      </c>
      <c r="H41" s="9" t="s">
        <v>36</v>
      </c>
      <c r="I41" s="9" t="s">
        <v>325</v>
      </c>
      <c r="J41" s="9" t="s">
        <v>3</v>
      </c>
      <c r="K41" s="12" t="s">
        <v>326</v>
      </c>
      <c r="L41" s="13" t="s">
        <v>327</v>
      </c>
      <c r="M41" s="13" t="s">
        <v>328</v>
      </c>
    </row>
    <row r="42" customFormat="false" ht="23.25" hidden="false" customHeight="true" outlineLevel="0" collapsed="false">
      <c r="A42" s="9" t="s">
        <v>329</v>
      </c>
      <c r="B42" s="15" t="s">
        <v>7</v>
      </c>
      <c r="C42" s="9" t="s">
        <v>17</v>
      </c>
      <c r="D42" s="11" t="s">
        <v>49</v>
      </c>
      <c r="E42" s="11" t="s">
        <v>330</v>
      </c>
      <c r="F42" s="9" t="s">
        <v>331</v>
      </c>
      <c r="G42" s="9" t="s">
        <v>332</v>
      </c>
      <c r="H42" s="9" t="s">
        <v>78</v>
      </c>
      <c r="I42" s="9" t="s">
        <v>333</v>
      </c>
      <c r="J42" s="9" t="s">
        <v>3</v>
      </c>
      <c r="K42" s="12" t="s">
        <v>334</v>
      </c>
      <c r="L42" s="13" t="s">
        <v>335</v>
      </c>
      <c r="M42" s="13" t="s">
        <v>336</v>
      </c>
    </row>
    <row r="43" customFormat="false" ht="34.5" hidden="false" customHeight="true" outlineLevel="0" collapsed="false">
      <c r="A43" s="9" t="s">
        <v>337</v>
      </c>
      <c r="B43" s="15" t="s">
        <v>7</v>
      </c>
      <c r="C43" s="9" t="s">
        <v>12</v>
      </c>
      <c r="D43" s="11" t="s">
        <v>125</v>
      </c>
      <c r="E43" s="11" t="s">
        <v>338</v>
      </c>
      <c r="F43" s="9" t="s">
        <v>339</v>
      </c>
      <c r="G43" s="9" t="s">
        <v>340</v>
      </c>
      <c r="H43" s="9" t="s">
        <v>62</v>
      </c>
      <c r="I43" s="9" t="s">
        <v>341</v>
      </c>
      <c r="J43" s="9" t="s">
        <v>3</v>
      </c>
      <c r="K43" s="12" t="s">
        <v>342</v>
      </c>
      <c r="L43" s="13" t="s">
        <v>343</v>
      </c>
      <c r="M43" s="13" t="s">
        <v>344</v>
      </c>
    </row>
    <row r="44" customFormat="false" ht="23.25" hidden="false" customHeight="true" outlineLevel="0" collapsed="false">
      <c r="A44" s="9" t="s">
        <v>345</v>
      </c>
      <c r="B44" s="15" t="s">
        <v>7</v>
      </c>
      <c r="C44" s="9" t="s">
        <v>16</v>
      </c>
      <c r="D44" s="11" t="s">
        <v>111</v>
      </c>
      <c r="E44" s="11" t="s">
        <v>346</v>
      </c>
      <c r="F44" s="9" t="s">
        <v>347</v>
      </c>
      <c r="G44" s="9" t="s">
        <v>348</v>
      </c>
      <c r="H44" s="9" t="s">
        <v>62</v>
      </c>
      <c r="I44" s="9" t="s">
        <v>349</v>
      </c>
      <c r="J44" s="9" t="s">
        <v>3</v>
      </c>
      <c r="K44" s="12" t="s">
        <v>350</v>
      </c>
      <c r="L44" s="13" t="s">
        <v>351</v>
      </c>
      <c r="M44" s="13" t="s">
        <v>352</v>
      </c>
    </row>
    <row r="45" customFormat="false" ht="34.5" hidden="false" customHeight="true" outlineLevel="0" collapsed="false">
      <c r="A45" s="9" t="s">
        <v>353</v>
      </c>
      <c r="B45" s="15" t="s">
        <v>7</v>
      </c>
      <c r="C45" s="9" t="s">
        <v>16</v>
      </c>
      <c r="D45" s="11" t="s">
        <v>111</v>
      </c>
      <c r="E45" s="11" t="s">
        <v>354</v>
      </c>
      <c r="F45" s="9" t="s">
        <v>355</v>
      </c>
      <c r="G45" s="9" t="s">
        <v>356</v>
      </c>
      <c r="H45" s="9" t="s">
        <v>62</v>
      </c>
      <c r="I45" s="9" t="s">
        <v>357</v>
      </c>
      <c r="J45" s="9" t="s">
        <v>3</v>
      </c>
      <c r="K45" s="12" t="s">
        <v>358</v>
      </c>
      <c r="L45" s="13" t="s">
        <v>359</v>
      </c>
      <c r="M45" s="13" t="s">
        <v>360</v>
      </c>
    </row>
    <row r="46" customFormat="false" ht="23.25" hidden="false" customHeight="true" outlineLevel="0" collapsed="false">
      <c r="A46" s="9" t="s">
        <v>361</v>
      </c>
      <c r="B46" s="15" t="s">
        <v>7</v>
      </c>
      <c r="C46" s="9" t="s">
        <v>13</v>
      </c>
      <c r="D46" s="11" t="s">
        <v>148</v>
      </c>
      <c r="E46" s="11" t="s">
        <v>362</v>
      </c>
      <c r="F46" s="9" t="s">
        <v>363</v>
      </c>
      <c r="G46" s="9" t="s">
        <v>281</v>
      </c>
      <c r="H46" s="9" t="s">
        <v>364</v>
      </c>
      <c r="I46" s="9" t="s">
        <v>365</v>
      </c>
      <c r="J46" s="9" t="s">
        <v>3</v>
      </c>
      <c r="K46" s="12" t="s">
        <v>366</v>
      </c>
      <c r="L46" s="13" t="s">
        <v>367</v>
      </c>
      <c r="M46" s="13" t="s">
        <v>368</v>
      </c>
    </row>
    <row r="47" customFormat="false" ht="23.25" hidden="false" customHeight="true" outlineLevel="0" collapsed="false">
      <c r="A47" s="9" t="s">
        <v>369</v>
      </c>
      <c r="B47" s="15" t="s">
        <v>7</v>
      </c>
      <c r="C47" s="9" t="s">
        <v>18</v>
      </c>
      <c r="D47" s="11" t="s">
        <v>74</v>
      </c>
      <c r="E47" s="11" t="s">
        <v>370</v>
      </c>
      <c r="F47" s="9" t="s">
        <v>371</v>
      </c>
      <c r="G47" s="9" t="s">
        <v>372</v>
      </c>
      <c r="H47" s="9" t="s">
        <v>78</v>
      </c>
      <c r="I47" s="9" t="s">
        <v>373</v>
      </c>
      <c r="J47" s="9" t="s">
        <v>3</v>
      </c>
      <c r="K47" s="12" t="s">
        <v>374</v>
      </c>
      <c r="L47" s="13" t="s">
        <v>375</v>
      </c>
      <c r="M47" s="13" t="s">
        <v>376</v>
      </c>
    </row>
    <row r="48" customFormat="false" ht="34.5" hidden="false" customHeight="true" outlineLevel="0" collapsed="false">
      <c r="A48" s="9" t="s">
        <v>377</v>
      </c>
      <c r="B48" s="16" t="s">
        <v>8</v>
      </c>
      <c r="C48" s="9" t="s">
        <v>11</v>
      </c>
      <c r="D48" s="11" t="s">
        <v>58</v>
      </c>
      <c r="E48" s="11" t="s">
        <v>378</v>
      </c>
      <c r="F48" s="9" t="s">
        <v>379</v>
      </c>
      <c r="G48" s="9" t="s">
        <v>380</v>
      </c>
      <c r="H48" s="9" t="s">
        <v>36</v>
      </c>
      <c r="I48" s="9" t="s">
        <v>37</v>
      </c>
      <c r="J48" s="9" t="s">
        <v>3</v>
      </c>
      <c r="K48" s="12" t="s">
        <v>381</v>
      </c>
      <c r="L48" s="13" t="s">
        <v>382</v>
      </c>
      <c r="M48" s="13" t="s">
        <v>383</v>
      </c>
    </row>
    <row r="49" customFormat="false" ht="23.25" hidden="false" customHeight="true" outlineLevel="0" collapsed="false">
      <c r="A49" s="9" t="s">
        <v>384</v>
      </c>
      <c r="B49" s="16" t="s">
        <v>8</v>
      </c>
      <c r="C49" s="9" t="s">
        <v>11</v>
      </c>
      <c r="D49" s="11" t="s">
        <v>58</v>
      </c>
      <c r="E49" s="11" t="s">
        <v>385</v>
      </c>
      <c r="F49" s="9" t="s">
        <v>386</v>
      </c>
      <c r="G49" s="9" t="s">
        <v>380</v>
      </c>
      <c r="H49" s="9" t="s">
        <v>36</v>
      </c>
      <c r="I49" s="9" t="s">
        <v>37</v>
      </c>
      <c r="J49" s="9" t="s">
        <v>3</v>
      </c>
      <c r="K49" s="12" t="s">
        <v>387</v>
      </c>
      <c r="L49" s="13" t="s">
        <v>388</v>
      </c>
      <c r="M49" s="13" t="s">
        <v>389</v>
      </c>
    </row>
    <row r="50" customFormat="false" ht="15" hidden="false" customHeight="true" outlineLevel="0" collapsed="false">
      <c r="A50" s="9" t="s">
        <v>390</v>
      </c>
      <c r="B50" s="16" t="s">
        <v>8</v>
      </c>
      <c r="C50" s="9" t="s">
        <v>11</v>
      </c>
      <c r="D50" s="11" t="s">
        <v>58</v>
      </c>
      <c r="E50" s="11" t="s">
        <v>391</v>
      </c>
      <c r="F50" s="9" t="s">
        <v>392</v>
      </c>
      <c r="G50" s="9" t="s">
        <v>61</v>
      </c>
      <c r="H50" s="9" t="s">
        <v>36</v>
      </c>
      <c r="I50" s="9" t="s">
        <v>37</v>
      </c>
      <c r="J50" s="9" t="s">
        <v>3</v>
      </c>
      <c r="K50" s="12" t="s">
        <v>393</v>
      </c>
      <c r="L50" s="13" t="s">
        <v>394</v>
      </c>
      <c r="M50" s="13" t="s">
        <v>395</v>
      </c>
    </row>
    <row r="51" customFormat="false" ht="23.25" hidden="false" customHeight="true" outlineLevel="0" collapsed="false">
      <c r="A51" s="9" t="s">
        <v>396</v>
      </c>
      <c r="B51" s="16" t="s">
        <v>8</v>
      </c>
      <c r="C51" s="9" t="s">
        <v>11</v>
      </c>
      <c r="D51" s="11" t="s">
        <v>58</v>
      </c>
      <c r="E51" s="11" t="s">
        <v>397</v>
      </c>
      <c r="F51" s="9" t="s">
        <v>398</v>
      </c>
      <c r="G51" s="9" t="s">
        <v>399</v>
      </c>
      <c r="H51" s="9" t="s">
        <v>36</v>
      </c>
      <c r="I51" s="9" t="s">
        <v>37</v>
      </c>
      <c r="J51" s="9" t="s">
        <v>3</v>
      </c>
      <c r="K51" s="12" t="s">
        <v>400</v>
      </c>
      <c r="L51" s="13" t="s">
        <v>401</v>
      </c>
      <c r="M51" s="13" t="s">
        <v>402</v>
      </c>
    </row>
    <row r="52" customFormat="false" ht="15" hidden="false" customHeight="true" outlineLevel="0" collapsed="false">
      <c r="A52" s="9" t="s">
        <v>403</v>
      </c>
      <c r="B52" s="16" t="s">
        <v>8</v>
      </c>
      <c r="C52" s="9" t="s">
        <v>12</v>
      </c>
      <c r="D52" s="11" t="s">
        <v>125</v>
      </c>
      <c r="E52" s="11" t="s">
        <v>404</v>
      </c>
      <c r="F52" s="9" t="s">
        <v>405</v>
      </c>
      <c r="G52" s="9" t="s">
        <v>406</v>
      </c>
      <c r="H52" s="9" t="s">
        <v>36</v>
      </c>
      <c r="I52" s="9" t="s">
        <v>37</v>
      </c>
      <c r="J52" s="9" t="s">
        <v>3</v>
      </c>
      <c r="K52" s="12" t="s">
        <v>407</v>
      </c>
      <c r="L52" s="13" t="s">
        <v>408</v>
      </c>
      <c r="M52" s="13" t="s">
        <v>409</v>
      </c>
    </row>
    <row r="53" customFormat="false" ht="23.25" hidden="false" customHeight="true" outlineLevel="0" collapsed="false">
      <c r="A53" s="9" t="s">
        <v>410</v>
      </c>
      <c r="B53" s="16" t="s">
        <v>8</v>
      </c>
      <c r="C53" s="9" t="s">
        <v>12</v>
      </c>
      <c r="D53" s="11" t="s">
        <v>125</v>
      </c>
      <c r="E53" s="11" t="s">
        <v>411</v>
      </c>
      <c r="F53" s="9" t="s">
        <v>412</v>
      </c>
      <c r="G53" s="9" t="s">
        <v>413</v>
      </c>
      <c r="H53" s="9" t="s">
        <v>36</v>
      </c>
      <c r="I53" s="9" t="s">
        <v>37</v>
      </c>
      <c r="J53" s="9" t="s">
        <v>3</v>
      </c>
      <c r="K53" s="12" t="s">
        <v>414</v>
      </c>
      <c r="L53" s="13" t="s">
        <v>415</v>
      </c>
      <c r="M53" s="13" t="s">
        <v>416</v>
      </c>
    </row>
    <row r="54" customFormat="false" ht="23.25" hidden="false" customHeight="true" outlineLevel="0" collapsed="false">
      <c r="A54" s="9" t="s">
        <v>417</v>
      </c>
      <c r="B54" s="16" t="s">
        <v>8</v>
      </c>
      <c r="C54" s="9" t="s">
        <v>12</v>
      </c>
      <c r="D54" s="11" t="s">
        <v>125</v>
      </c>
      <c r="E54" s="11" t="s">
        <v>418</v>
      </c>
      <c r="F54" s="9" t="s">
        <v>419</v>
      </c>
      <c r="G54" s="9" t="s">
        <v>420</v>
      </c>
      <c r="H54" s="9" t="s">
        <v>36</v>
      </c>
      <c r="I54" s="9" t="s">
        <v>37</v>
      </c>
      <c r="J54" s="9" t="s">
        <v>3</v>
      </c>
      <c r="K54" s="12" t="s">
        <v>421</v>
      </c>
      <c r="L54" s="13" t="s">
        <v>422</v>
      </c>
      <c r="M54" s="13" t="s">
        <v>423</v>
      </c>
    </row>
    <row r="55" customFormat="false" ht="23.25" hidden="false" customHeight="true" outlineLevel="0" collapsed="false">
      <c r="A55" s="9" t="s">
        <v>424</v>
      </c>
      <c r="B55" s="16" t="s">
        <v>8</v>
      </c>
      <c r="C55" s="9" t="s">
        <v>12</v>
      </c>
      <c r="D55" s="11" t="s">
        <v>125</v>
      </c>
      <c r="E55" s="11" t="s">
        <v>425</v>
      </c>
      <c r="F55" s="9" t="s">
        <v>426</v>
      </c>
      <c r="G55" s="9" t="s">
        <v>427</v>
      </c>
      <c r="H55" s="9" t="s">
        <v>36</v>
      </c>
      <c r="I55" s="9" t="s">
        <v>37</v>
      </c>
      <c r="J55" s="9" t="s">
        <v>3</v>
      </c>
      <c r="K55" s="12" t="s">
        <v>428</v>
      </c>
      <c r="L55" s="13" t="s">
        <v>429</v>
      </c>
      <c r="M55" s="13" t="s">
        <v>430</v>
      </c>
    </row>
    <row r="56" customFormat="false" ht="23.25" hidden="false" customHeight="true" outlineLevel="0" collapsed="false">
      <c r="A56" s="9" t="s">
        <v>431</v>
      </c>
      <c r="B56" s="16" t="s">
        <v>8</v>
      </c>
      <c r="C56" s="9" t="s">
        <v>13</v>
      </c>
      <c r="D56" s="11" t="s">
        <v>148</v>
      </c>
      <c r="E56" s="11" t="s">
        <v>432</v>
      </c>
      <c r="F56" s="9" t="s">
        <v>433</v>
      </c>
      <c r="G56" s="9" t="s">
        <v>281</v>
      </c>
      <c r="H56" s="9" t="s">
        <v>36</v>
      </c>
      <c r="I56" s="9" t="s">
        <v>37</v>
      </c>
      <c r="J56" s="9" t="s">
        <v>3</v>
      </c>
      <c r="K56" s="12" t="s">
        <v>434</v>
      </c>
      <c r="L56" s="13" t="s">
        <v>435</v>
      </c>
      <c r="M56" s="13" t="s">
        <v>436</v>
      </c>
    </row>
    <row r="57" customFormat="false" ht="23.25" hidden="false" customHeight="true" outlineLevel="0" collapsed="false">
      <c r="A57" s="9" t="s">
        <v>437</v>
      </c>
      <c r="B57" s="16" t="s">
        <v>8</v>
      </c>
      <c r="C57" s="9" t="s">
        <v>13</v>
      </c>
      <c r="D57" s="11" t="s">
        <v>148</v>
      </c>
      <c r="E57" s="11" t="s">
        <v>438</v>
      </c>
      <c r="F57" s="9" t="s">
        <v>439</v>
      </c>
      <c r="G57" s="9" t="s">
        <v>440</v>
      </c>
      <c r="H57" s="9" t="s">
        <v>36</v>
      </c>
      <c r="I57" s="9" t="s">
        <v>37</v>
      </c>
      <c r="J57" s="9" t="s">
        <v>3</v>
      </c>
      <c r="K57" s="12" t="s">
        <v>441</v>
      </c>
      <c r="L57" s="13" t="s">
        <v>442</v>
      </c>
      <c r="M57" s="13" t="s">
        <v>443</v>
      </c>
    </row>
    <row r="58" customFormat="false" ht="15" hidden="false" customHeight="true" outlineLevel="0" collapsed="false">
      <c r="A58" s="9" t="s">
        <v>444</v>
      </c>
      <c r="B58" s="16" t="s">
        <v>8</v>
      </c>
      <c r="C58" s="9" t="s">
        <v>13</v>
      </c>
      <c r="D58" s="11" t="s">
        <v>148</v>
      </c>
      <c r="E58" s="11" t="s">
        <v>445</v>
      </c>
      <c r="F58" s="9" t="s">
        <v>446</v>
      </c>
      <c r="G58" s="9" t="s">
        <v>77</v>
      </c>
      <c r="H58" s="9" t="s">
        <v>36</v>
      </c>
      <c r="I58" s="9" t="s">
        <v>37</v>
      </c>
      <c r="J58" s="9" t="s">
        <v>3</v>
      </c>
      <c r="K58" s="12" t="s">
        <v>447</v>
      </c>
      <c r="L58" s="13" t="s">
        <v>448</v>
      </c>
      <c r="M58" s="13" t="s">
        <v>449</v>
      </c>
    </row>
    <row r="59" customFormat="false" ht="15" hidden="false" customHeight="true" outlineLevel="0" collapsed="false">
      <c r="A59" s="9" t="s">
        <v>450</v>
      </c>
      <c r="B59" s="16" t="s">
        <v>8</v>
      </c>
      <c r="C59" s="9" t="s">
        <v>13</v>
      </c>
      <c r="D59" s="11" t="s">
        <v>148</v>
      </c>
      <c r="E59" s="11" t="s">
        <v>451</v>
      </c>
      <c r="F59" s="9" t="s">
        <v>452</v>
      </c>
      <c r="G59" s="9" t="s">
        <v>281</v>
      </c>
      <c r="H59" s="9" t="s">
        <v>36</v>
      </c>
      <c r="I59" s="9" t="s">
        <v>37</v>
      </c>
      <c r="J59" s="9" t="s">
        <v>3</v>
      </c>
      <c r="K59" s="12" t="s">
        <v>453</v>
      </c>
      <c r="L59" s="13" t="s">
        <v>454</v>
      </c>
      <c r="M59" s="13" t="s">
        <v>455</v>
      </c>
    </row>
    <row r="60" customFormat="false" ht="23.25" hidden="false" customHeight="true" outlineLevel="0" collapsed="false">
      <c r="A60" s="9" t="s">
        <v>456</v>
      </c>
      <c r="B60" s="16" t="s">
        <v>8</v>
      </c>
      <c r="C60" s="9" t="s">
        <v>14</v>
      </c>
      <c r="D60" s="11" t="s">
        <v>96</v>
      </c>
      <c r="E60" s="11" t="s">
        <v>457</v>
      </c>
      <c r="F60" s="9" t="s">
        <v>458</v>
      </c>
      <c r="G60" s="9" t="s">
        <v>459</v>
      </c>
      <c r="H60" s="9" t="s">
        <v>36</v>
      </c>
      <c r="I60" s="9" t="s">
        <v>37</v>
      </c>
      <c r="J60" s="9" t="s">
        <v>3</v>
      </c>
      <c r="K60" s="12" t="s">
        <v>460</v>
      </c>
      <c r="L60" s="13" t="s">
        <v>461</v>
      </c>
      <c r="M60" s="13" t="s">
        <v>462</v>
      </c>
    </row>
    <row r="61" customFormat="false" ht="23.25" hidden="false" customHeight="true" outlineLevel="0" collapsed="false">
      <c r="A61" s="9" t="s">
        <v>463</v>
      </c>
      <c r="B61" s="16" t="s">
        <v>8</v>
      </c>
      <c r="C61" s="9" t="s">
        <v>14</v>
      </c>
      <c r="D61" s="11" t="s">
        <v>96</v>
      </c>
      <c r="E61" s="11" t="s">
        <v>464</v>
      </c>
      <c r="F61" s="9" t="s">
        <v>465</v>
      </c>
      <c r="G61" s="9" t="s">
        <v>466</v>
      </c>
      <c r="H61" s="9" t="s">
        <v>36</v>
      </c>
      <c r="I61" s="9" t="s">
        <v>37</v>
      </c>
      <c r="J61" s="9" t="s">
        <v>3</v>
      </c>
      <c r="K61" s="12" t="s">
        <v>467</v>
      </c>
      <c r="L61" s="13" t="s">
        <v>468</v>
      </c>
      <c r="M61" s="13" t="s">
        <v>469</v>
      </c>
    </row>
    <row r="62" customFormat="false" ht="15" hidden="false" customHeight="true" outlineLevel="0" collapsed="false">
      <c r="A62" s="9" t="s">
        <v>470</v>
      </c>
      <c r="B62" s="16" t="s">
        <v>8</v>
      </c>
      <c r="C62" s="9" t="s">
        <v>14</v>
      </c>
      <c r="D62" s="11" t="s">
        <v>96</v>
      </c>
      <c r="E62" s="11" t="s">
        <v>471</v>
      </c>
      <c r="F62" s="9" t="s">
        <v>472</v>
      </c>
      <c r="G62" s="9" t="s">
        <v>473</v>
      </c>
      <c r="H62" s="9" t="s">
        <v>36</v>
      </c>
      <c r="I62" s="9" t="s">
        <v>37</v>
      </c>
      <c r="J62" s="9" t="s">
        <v>3</v>
      </c>
      <c r="K62" s="12" t="s">
        <v>474</v>
      </c>
      <c r="L62" s="13" t="s">
        <v>475</v>
      </c>
      <c r="M62" s="13" t="s">
        <v>476</v>
      </c>
    </row>
    <row r="63" customFormat="false" ht="23.25" hidden="false" customHeight="true" outlineLevel="0" collapsed="false">
      <c r="A63" s="9" t="s">
        <v>477</v>
      </c>
      <c r="B63" s="16" t="s">
        <v>8</v>
      </c>
      <c r="C63" s="9" t="s">
        <v>14</v>
      </c>
      <c r="D63" s="11" t="s">
        <v>96</v>
      </c>
      <c r="E63" s="11" t="s">
        <v>478</v>
      </c>
      <c r="F63" s="9" t="s">
        <v>479</v>
      </c>
      <c r="G63" s="9" t="s">
        <v>480</v>
      </c>
      <c r="H63" s="9" t="s">
        <v>36</v>
      </c>
      <c r="I63" s="9" t="s">
        <v>37</v>
      </c>
      <c r="J63" s="9" t="s">
        <v>3</v>
      </c>
      <c r="K63" s="12" t="s">
        <v>481</v>
      </c>
      <c r="L63" s="13" t="s">
        <v>482</v>
      </c>
      <c r="M63" s="13" t="s">
        <v>483</v>
      </c>
    </row>
    <row r="64" customFormat="false" ht="23.25" hidden="false" customHeight="true" outlineLevel="0" collapsed="false">
      <c r="A64" s="9" t="s">
        <v>484</v>
      </c>
      <c r="B64" s="16" t="s">
        <v>8</v>
      </c>
      <c r="C64" s="9" t="s">
        <v>15</v>
      </c>
      <c r="D64" s="11" t="s">
        <v>32</v>
      </c>
      <c r="E64" s="11" t="s">
        <v>485</v>
      </c>
      <c r="F64" s="9" t="s">
        <v>486</v>
      </c>
      <c r="G64" s="9" t="s">
        <v>487</v>
      </c>
      <c r="H64" s="9" t="s">
        <v>36</v>
      </c>
      <c r="I64" s="9" t="s">
        <v>37</v>
      </c>
      <c r="J64" s="9" t="s">
        <v>3</v>
      </c>
      <c r="K64" s="12" t="s">
        <v>488</v>
      </c>
      <c r="L64" s="13" t="s">
        <v>489</v>
      </c>
      <c r="M64" s="13" t="s">
        <v>490</v>
      </c>
    </row>
    <row r="65" customFormat="false" ht="23.25" hidden="false" customHeight="true" outlineLevel="0" collapsed="false">
      <c r="A65" s="9" t="s">
        <v>491</v>
      </c>
      <c r="B65" s="16" t="s">
        <v>8</v>
      </c>
      <c r="C65" s="9" t="s">
        <v>15</v>
      </c>
      <c r="D65" s="11" t="s">
        <v>32</v>
      </c>
      <c r="E65" s="11" t="s">
        <v>492</v>
      </c>
      <c r="F65" s="9" t="s">
        <v>493</v>
      </c>
      <c r="G65" s="9" t="s">
        <v>494</v>
      </c>
      <c r="H65" s="9" t="s">
        <v>36</v>
      </c>
      <c r="I65" s="9" t="s">
        <v>37</v>
      </c>
      <c r="J65" s="9" t="s">
        <v>3</v>
      </c>
      <c r="K65" s="12" t="s">
        <v>495</v>
      </c>
      <c r="L65" s="13" t="s">
        <v>496</v>
      </c>
      <c r="M65" s="13" t="s">
        <v>497</v>
      </c>
    </row>
    <row r="66" customFormat="false" ht="15" hidden="false" customHeight="true" outlineLevel="0" collapsed="false">
      <c r="A66" s="9" t="s">
        <v>498</v>
      </c>
      <c r="B66" s="16" t="s">
        <v>8</v>
      </c>
      <c r="C66" s="9" t="s">
        <v>15</v>
      </c>
      <c r="D66" s="11" t="s">
        <v>32</v>
      </c>
      <c r="E66" s="11" t="s">
        <v>499</v>
      </c>
      <c r="F66" s="9" t="s">
        <v>500</v>
      </c>
      <c r="G66" s="9" t="s">
        <v>501</v>
      </c>
      <c r="H66" s="9" t="s">
        <v>36</v>
      </c>
      <c r="I66" s="9" t="s">
        <v>37</v>
      </c>
      <c r="J66" s="9" t="s">
        <v>3</v>
      </c>
      <c r="K66" s="12" t="s">
        <v>502</v>
      </c>
      <c r="L66" s="13" t="s">
        <v>503</v>
      </c>
      <c r="M66" s="13" t="s">
        <v>504</v>
      </c>
    </row>
    <row r="67" customFormat="false" ht="23.25" hidden="false" customHeight="true" outlineLevel="0" collapsed="false">
      <c r="A67" s="9" t="s">
        <v>505</v>
      </c>
      <c r="B67" s="16" t="s">
        <v>8</v>
      </c>
      <c r="C67" s="9" t="s">
        <v>15</v>
      </c>
      <c r="D67" s="11" t="s">
        <v>32</v>
      </c>
      <c r="E67" s="11" t="s">
        <v>506</v>
      </c>
      <c r="F67" s="9" t="s">
        <v>507</v>
      </c>
      <c r="G67" s="9" t="s">
        <v>508</v>
      </c>
      <c r="H67" s="9" t="s">
        <v>36</v>
      </c>
      <c r="I67" s="9" t="s">
        <v>37</v>
      </c>
      <c r="J67" s="9" t="s">
        <v>3</v>
      </c>
      <c r="K67" s="12" t="s">
        <v>509</v>
      </c>
      <c r="L67" s="13" t="s">
        <v>510</v>
      </c>
      <c r="M67" s="13" t="s">
        <v>511</v>
      </c>
    </row>
    <row r="68" customFormat="false" ht="15" hidden="false" customHeight="true" outlineLevel="0" collapsed="false">
      <c r="A68" s="9" t="s">
        <v>512</v>
      </c>
      <c r="B68" s="16" t="s">
        <v>8</v>
      </c>
      <c r="C68" s="9" t="s">
        <v>16</v>
      </c>
      <c r="D68" s="11" t="s">
        <v>111</v>
      </c>
      <c r="E68" s="11" t="s">
        <v>513</v>
      </c>
      <c r="F68" s="9" t="s">
        <v>514</v>
      </c>
      <c r="G68" s="9" t="s">
        <v>114</v>
      </c>
      <c r="H68" s="9" t="s">
        <v>36</v>
      </c>
      <c r="I68" s="9" t="s">
        <v>37</v>
      </c>
      <c r="J68" s="9" t="s">
        <v>3</v>
      </c>
      <c r="K68" s="12" t="s">
        <v>515</v>
      </c>
      <c r="L68" s="13" t="s">
        <v>516</v>
      </c>
      <c r="M68" s="13" t="s">
        <v>517</v>
      </c>
    </row>
    <row r="69" customFormat="false" ht="23.25" hidden="false" customHeight="true" outlineLevel="0" collapsed="false"/>
    <row r="70" customFormat="false" ht="23.25" hidden="false" customHeight="true" outlineLevel="0" collapsed="false"/>
    <row r="71" customFormat="false" ht="23.25" hidden="false" customHeight="true" outlineLevel="0" collapsed="false"/>
    <row r="72" customFormat="false" ht="23.25" hidden="false" customHeight="true" outlineLevel="0" collapsed="false"/>
    <row r="73" customFormat="false" ht="15" hidden="false" customHeight="true" outlineLevel="0" collapsed="false"/>
  </sheetData>
  <autoFilter ref="A1:M68"/>
  <dataValidations count="1">
    <dataValidation allowBlank="false" errorStyle="stop" operator="between" showDropDown="false" showErrorMessage="false" showInputMessage="false" sqref="J2:J68"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2026-10-20T19:37:55Z</dcterms:created>
  <dc:creator>openpyxl</dc:creator>
  <dc:description/>
  <dc:language>en-US</dc:language>
  <cp:lastModifiedBy/>
  <dcterms:modified xsi:type="dcterms:W3CDTF">2026-10-27T14:45:18Z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